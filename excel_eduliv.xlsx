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drawings/drawing2.xml" ContentType="application/vnd.openxmlformats-officedocument.drawing+xml"/>
  <Override PartName="/xl/ink/ink5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UDIO\Downloads\atividades_do_excel\"/>
    </mc:Choice>
  </mc:AlternateContent>
  <xr:revisionPtr revIDLastSave="0" documentId="13_ncr:1_{3A5AC5F2-E608-4489-B12A-15130FC7CB28}" xr6:coauthVersionLast="47" xr6:coauthVersionMax="47" xr10:uidLastSave="{00000000-0000-0000-0000-000000000000}"/>
  <bookViews>
    <workbookView xWindow="28680" yWindow="-120" windowWidth="29040" windowHeight="15720" tabRatio="424" firstSheet="15" activeTab="20" xr2:uid="{5DF8F55A-8056-4556-AA27-D6E6576B59DA}"/>
  </bookViews>
  <sheets>
    <sheet name="VENCIDAS" sheetId="1" r:id="rId1"/>
    <sheet name="RECEBIDAS" sheetId="9" r:id="rId2"/>
    <sheet name="Planilha cheia" sheetId="10" r:id="rId3"/>
    <sheet name="Clientes" sheetId="11" r:id="rId4"/>
    <sheet name="Clientes-sistema;" sheetId="13" r:id="rId5"/>
    <sheet name="Clientes-sistema|" sheetId="14" r:id="rId6"/>
    <sheet name="Básicas" sheetId="15" r:id="rId7"/>
    <sheet name="Básicas (2)" sheetId="19" r:id="rId8"/>
    <sheet name="Mês7" sheetId="20" r:id="rId9"/>
    <sheet name="Mês8" sheetId="21" r:id="rId10"/>
    <sheet name="Mês9" sheetId="22" r:id="rId11"/>
    <sheet name="Planilha9" sheetId="24" r:id="rId12"/>
    <sheet name="DIA 1" sheetId="25" r:id="rId13"/>
    <sheet name="DIA 1 (2)" sheetId="26" r:id="rId14"/>
    <sheet name="FUNCIONÁRIOS" sheetId="27" r:id="rId15"/>
    <sheet name="DIA 1 (3)" sheetId="29" r:id="rId16"/>
    <sheet name="DIA 2" sheetId="30" r:id="rId17"/>
    <sheet name="base_de_dados" sheetId="31" r:id="rId18"/>
    <sheet name="DIA 1 (4)" sheetId="32" r:id="rId19"/>
    <sheet name="DIA 1 (5)" sheetId="33" r:id="rId20"/>
    <sheet name="Vendedores" sheetId="35" r:id="rId21"/>
  </sheets>
  <definedNames>
    <definedName name="_xlnm._FilterDatabase" localSheetId="14" hidden="1">FUNCIONÁRIOS!$A$1:$A$18</definedName>
    <definedName name="_xlnm._FilterDatabase" localSheetId="9" hidden="1">Mês8!$A$1:$C$17</definedName>
    <definedName name="_xlnm._FilterDatabase" localSheetId="10" hidden="1">Mês9!$A$1:$C$17</definedName>
    <definedName name="_xlnm._FilterDatabase" localSheetId="1" hidden="1">RECEBIDAS!$A$4:$F$15</definedName>
    <definedName name="_xlnm._FilterDatabase" localSheetId="0" hidden="1">VENCIDAS!$A$4:$F$4</definedName>
    <definedName name="_xlnm.Print_Area" localSheetId="1">RECEBIDAS!$A$1:$F$15</definedName>
    <definedName name="_xlnm.Print_Area" localSheetId="0">VENCIDAS!$A$1:$G$11</definedName>
    <definedName name="VALORES_DE_COMPRAS">'DIA 1 (2)'!$C$2:$C$21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35" l="1" a="1"/>
  <c r="F2" i="35" s="1"/>
  <c r="I20" i="35" s="1"/>
  <c r="B30" i="35" a="1"/>
  <c r="B30" i="35" s="1"/>
  <c r="L14" i="35"/>
  <c r="F3" i="35" a="1"/>
  <c r="F3" i="35" s="1"/>
  <c r="F4" i="35" a="1"/>
  <c r="F4" i="35" s="1"/>
  <c r="L13" i="35"/>
  <c r="L12" i="35"/>
  <c r="L11" i="35"/>
  <c r="L10" i="35"/>
  <c r="L9" i="35"/>
  <c r="L8" i="35"/>
  <c r="L7" i="35"/>
  <c r="G32" i="35"/>
  <c r="G31" i="35"/>
  <c r="J21" i="35"/>
  <c r="J22" i="35"/>
  <c r="I22" i="35"/>
  <c r="I21" i="35"/>
  <c r="J7" i="35"/>
  <c r="K14" i="35"/>
  <c r="K13" i="35"/>
  <c r="K12" i="35"/>
  <c r="K11" i="35"/>
  <c r="K10" i="35"/>
  <c r="K9" i="35"/>
  <c r="K8" i="35"/>
  <c r="K7" i="35"/>
  <c r="J14" i="35"/>
  <c r="J13" i="35"/>
  <c r="J12" i="35"/>
  <c r="J11" i="35"/>
  <c r="J10" i="35"/>
  <c r="J9" i="35"/>
  <c r="J8" i="35"/>
  <c r="I14" i="35"/>
  <c r="I13" i="35"/>
  <c r="I12" i="35"/>
  <c r="I11" i="35"/>
  <c r="I10" i="35"/>
  <c r="I8" i="35"/>
  <c r="I9" i="35"/>
  <c r="I7" i="35"/>
  <c r="I3" i="35"/>
  <c r="I2" i="35"/>
  <c r="I1" i="35"/>
  <c r="A22" i="35"/>
  <c r="A18" i="35"/>
  <c r="A3" i="9"/>
  <c r="F15" i="35" a="1"/>
  <c r="F15" i="35" s="1"/>
  <c r="F14" i="35" a="1"/>
  <c r="F14" i="35" s="1"/>
  <c r="F13" i="35" a="1"/>
  <c r="F13" i="35" s="1"/>
  <c r="F12" i="35" a="1"/>
  <c r="F12" i="35" s="1"/>
  <c r="F11" i="35" a="1"/>
  <c r="F11" i="35" s="1"/>
  <c r="F10" i="35" a="1"/>
  <c r="F10" i="35" s="1"/>
  <c r="F9" i="35" a="1"/>
  <c r="F9" i="35" s="1"/>
  <c r="F8" i="35" a="1"/>
  <c r="F8" i="35" s="1"/>
  <c r="F7" i="35" a="1"/>
  <c r="F7" i="35" s="1"/>
  <c r="F6" i="35" a="1"/>
  <c r="F6" i="35" s="1"/>
  <c r="F5" i="35" a="1"/>
  <c r="F5" i="35" s="1"/>
  <c r="E21" i="33"/>
  <c r="E20" i="33"/>
  <c r="E19" i="33"/>
  <c r="E18" i="33"/>
  <c r="H17" i="33"/>
  <c r="H5" i="33" s="1" a="1"/>
  <c r="H5" i="33" s="1"/>
  <c r="H11" i="33" s="1"/>
  <c r="E17" i="33"/>
  <c r="H16" i="33"/>
  <c r="E16" i="33"/>
  <c r="E15" i="33"/>
  <c r="E14" i="33"/>
  <c r="E13" i="33"/>
  <c r="E12" i="33"/>
  <c r="E11" i="33"/>
  <c r="E10" i="33"/>
  <c r="H9" i="33"/>
  <c r="E9" i="33"/>
  <c r="H8" i="33"/>
  <c r="E8" i="33"/>
  <c r="E7" i="33"/>
  <c r="E6" i="33"/>
  <c r="E5" i="33"/>
  <c r="I4" i="33"/>
  <c r="H4" i="33" a="1"/>
  <c r="H4" i="33" s="1"/>
  <c r="E4" i="33"/>
  <c r="E3" i="33"/>
  <c r="E2" i="33"/>
  <c r="H5" i="32"/>
  <c r="H4" i="32"/>
  <c r="H11" i="32" s="1"/>
  <c r="H17" i="32"/>
  <c r="H16" i="32"/>
  <c r="H9" i="32"/>
  <c r="H8" i="32"/>
  <c r="E2" i="32"/>
  <c r="E3" i="32"/>
  <c r="E4" i="32"/>
  <c r="E5" i="32"/>
  <c r="E6" i="32"/>
  <c r="E7" i="32"/>
  <c r="E8" i="32"/>
  <c r="E9" i="32"/>
  <c r="E10" i="32"/>
  <c r="E11" i="32"/>
  <c r="E12" i="32"/>
  <c r="E13" i="32"/>
  <c r="E14" i="32"/>
  <c r="E15" i="32"/>
  <c r="E16" i="32"/>
  <c r="E17" i="32"/>
  <c r="E18" i="32"/>
  <c r="E19" i="32"/>
  <c r="E20" i="32"/>
  <c r="E21" i="32"/>
  <c r="I17" i="35" l="1"/>
  <c r="J19" i="35"/>
  <c r="K19" i="35"/>
  <c r="K18" i="35"/>
  <c r="K22" i="35"/>
  <c r="K21" i="35"/>
  <c r="K20" i="35"/>
  <c r="K17" i="35"/>
  <c r="J20" i="35"/>
  <c r="J18" i="35"/>
  <c r="J17" i="35"/>
  <c r="I18" i="35"/>
  <c r="I19" i="35"/>
  <c r="H12" i="33"/>
  <c r="H13" i="33" a="1"/>
  <c r="H13" i="33" s="1"/>
  <c r="F6" i="31" l="1"/>
  <c r="F7" i="31"/>
  <c r="F8" i="31"/>
  <c r="F9" i="31"/>
  <c r="F10" i="31"/>
  <c r="F11" i="31"/>
  <c r="F12" i="31"/>
  <c r="F13" i="31"/>
  <c r="F14" i="31"/>
  <c r="F15" i="31"/>
  <c r="F16" i="31"/>
  <c r="F17" i="31"/>
  <c r="F5" i="31"/>
  <c r="F12" i="30" l="1"/>
  <c r="J19" i="29"/>
  <c r="F11" i="30"/>
  <c r="J18" i="29"/>
  <c r="G19" i="29"/>
  <c r="G18" i="29"/>
  <c r="B11" i="30"/>
  <c r="B12" i="30"/>
  <c r="I11" i="29" a="1"/>
  <c r="I11" i="29" s="1"/>
  <c r="B8" i="30"/>
  <c r="G6" i="29"/>
  <c r="I5" i="29"/>
  <c r="G14" i="29"/>
  <c r="G11" i="29"/>
  <c r="G5" i="29"/>
  <c r="I9" i="29"/>
  <c r="G9" i="29"/>
  <c r="G8" i="29"/>
  <c r="G3" i="29"/>
  <c r="G2" i="29"/>
  <c r="K6" i="9"/>
  <c r="K7" i="9"/>
  <c r="K8" i="9"/>
  <c r="K9" i="9"/>
  <c r="K10" i="9"/>
  <c r="K11" i="9"/>
  <c r="K12" i="9"/>
  <c r="K13" i="9"/>
  <c r="K14" i="9"/>
  <c r="K15" i="9"/>
  <c r="K5" i="9"/>
  <c r="J6" i="9"/>
  <c r="J7" i="9"/>
  <c r="J8" i="9"/>
  <c r="J9" i="9"/>
  <c r="J10" i="9"/>
  <c r="J11" i="9"/>
  <c r="J12" i="9"/>
  <c r="J13" i="9"/>
  <c r="J14" i="9"/>
  <c r="J15" i="9"/>
  <c r="J5" i="9"/>
  <c r="I6" i="9"/>
  <c r="I7" i="9"/>
  <c r="I8" i="9"/>
  <c r="I9" i="9"/>
  <c r="I10" i="9"/>
  <c r="I11" i="9"/>
  <c r="I12" i="9"/>
  <c r="I13" i="9"/>
  <c r="I14" i="9"/>
  <c r="I15" i="9"/>
  <c r="I5" i="9"/>
  <c r="H6" i="9"/>
  <c r="H7" i="9"/>
  <c r="H8" i="9"/>
  <c r="H9" i="9"/>
  <c r="H10" i="9"/>
  <c r="H11" i="9"/>
  <c r="H12" i="9"/>
  <c r="H13" i="9"/>
  <c r="H14" i="9"/>
  <c r="H15" i="9"/>
  <c r="H5" i="9"/>
  <c r="G7" i="9"/>
  <c r="G8" i="9"/>
  <c r="G9" i="9"/>
  <c r="G10" i="9"/>
  <c r="G11" i="9"/>
  <c r="G12" i="9"/>
  <c r="G13" i="9"/>
  <c r="G14" i="9"/>
  <c r="G15" i="9"/>
  <c r="G6" i="9"/>
  <c r="G5" i="9"/>
  <c r="L7" i="27"/>
  <c r="L6" i="27"/>
  <c r="L5" i="27"/>
  <c r="L4" i="27"/>
  <c r="I3" i="27"/>
  <c r="I4" i="27"/>
  <c r="I5" i="27"/>
  <c r="I6" i="27"/>
  <c r="I7" i="27"/>
  <c r="I8" i="27"/>
  <c r="I9" i="27"/>
  <c r="I10" i="27"/>
  <c r="I11" i="27"/>
  <c r="I12" i="27"/>
  <c r="I13" i="27"/>
  <c r="I14" i="27"/>
  <c r="I15" i="27"/>
  <c r="I16" i="27"/>
  <c r="I17" i="27"/>
  <c r="I18" i="27"/>
  <c r="I2" i="27"/>
  <c r="H3" i="27"/>
  <c r="H4" i="27"/>
  <c r="H5" i="27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2" i="27"/>
  <c r="G3" i="27"/>
  <c r="G4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2" i="27"/>
  <c r="F3" i="27"/>
  <c r="F4" i="27"/>
  <c r="F5" i="27"/>
  <c r="F6" i="27"/>
  <c r="F7" i="27"/>
  <c r="F8" i="27"/>
  <c r="F9" i="27"/>
  <c r="F10" i="27"/>
  <c r="F11" i="27"/>
  <c r="F12" i="27"/>
  <c r="F13" i="27"/>
  <c r="F14" i="27"/>
  <c r="F15" i="27"/>
  <c r="F16" i="27"/>
  <c r="F17" i="27"/>
  <c r="F18" i="27"/>
  <c r="F2" i="27"/>
  <c r="E3" i="27"/>
  <c r="E4" i="27"/>
  <c r="E5" i="27"/>
  <c r="E6" i="27"/>
  <c r="E7" i="27"/>
  <c r="E8" i="27"/>
  <c r="E9" i="27"/>
  <c r="E10" i="27"/>
  <c r="E11" i="27"/>
  <c r="E12" i="27"/>
  <c r="E13" i="27"/>
  <c r="E14" i="27"/>
  <c r="E15" i="27"/>
  <c r="E16" i="27"/>
  <c r="E17" i="27"/>
  <c r="E18" i="27"/>
  <c r="E2" i="27"/>
  <c r="D3" i="27"/>
  <c r="D4" i="27"/>
  <c r="D5" i="27"/>
  <c r="D6" i="27"/>
  <c r="D7" i="27"/>
  <c r="D8" i="27"/>
  <c r="D9" i="27"/>
  <c r="D10" i="27"/>
  <c r="D11" i="27"/>
  <c r="D12" i="27"/>
  <c r="D13" i="27"/>
  <c r="D14" i="27"/>
  <c r="D15" i="27"/>
  <c r="D16" i="27"/>
  <c r="D17" i="27"/>
  <c r="D18" i="27"/>
  <c r="D2" i="27"/>
  <c r="C3" i="27"/>
  <c r="C4" i="27"/>
  <c r="C5" i="27"/>
  <c r="C6" i="27"/>
  <c r="C7" i="27"/>
  <c r="C8" i="27"/>
  <c r="C9" i="27"/>
  <c r="C10" i="27"/>
  <c r="C11" i="27"/>
  <c r="C12" i="27"/>
  <c r="C13" i="27"/>
  <c r="C14" i="27"/>
  <c r="C15" i="27"/>
  <c r="C16" i="27"/>
  <c r="C17" i="27"/>
  <c r="C18" i="27"/>
  <c r="C2" i="27"/>
  <c r="F4" i="26"/>
  <c r="F21" i="26"/>
  <c r="F19" i="26"/>
  <c r="F18" i="26"/>
  <c r="F17" i="26"/>
  <c r="F16" i="26"/>
  <c r="F14" i="26"/>
  <c r="F13" i="26"/>
  <c r="F12" i="26"/>
  <c r="F11" i="26"/>
  <c r="F9" i="26"/>
  <c r="F7" i="26"/>
  <c r="F5" i="26"/>
  <c r="F2" i="26"/>
  <c r="F1" i="26"/>
  <c r="F4" i="25"/>
  <c r="F21" i="25"/>
  <c r="F19" i="25"/>
  <c r="F18" i="25"/>
  <c r="F17" i="25"/>
  <c r="F16" i="25"/>
  <c r="F14" i="25"/>
  <c r="F13" i="25"/>
  <c r="F12" i="25"/>
  <c r="F11" i="25"/>
  <c r="F9" i="25"/>
  <c r="F7" i="25"/>
  <c r="F5" i="25"/>
  <c r="F2" i="25"/>
  <c r="F1" i="25"/>
  <c r="H26" i="22"/>
  <c r="H25" i="22"/>
  <c r="H24" i="22"/>
  <c r="H27" i="22"/>
  <c r="G27" i="22"/>
  <c r="G26" i="22"/>
  <c r="G25" i="22"/>
  <c r="G24" i="22"/>
  <c r="F19" i="22"/>
  <c r="F18" i="22"/>
  <c r="E4" i="22"/>
  <c r="E4" i="21"/>
  <c r="E5" i="20"/>
  <c r="E4" i="20"/>
  <c r="D11" i="19"/>
  <c r="B9" i="19"/>
  <c r="C9" i="19"/>
  <c r="E9" i="19"/>
  <c r="F9" i="19"/>
  <c r="G9" i="19"/>
  <c r="D9" i="19"/>
  <c r="I3" i="19"/>
  <c r="I2" i="19"/>
  <c r="G3" i="19"/>
  <c r="G4" i="19"/>
  <c r="G5" i="19"/>
  <c r="G6" i="19"/>
  <c r="G7" i="19"/>
  <c r="G8" i="19"/>
  <c r="G2" i="19"/>
  <c r="E3" i="19"/>
  <c r="E4" i="19"/>
  <c r="E5" i="19"/>
  <c r="E6" i="19"/>
  <c r="E7" i="19"/>
  <c r="E8" i="19"/>
  <c r="E2" i="19"/>
  <c r="J3" i="15"/>
  <c r="J4" i="15"/>
  <c r="J5" i="15"/>
  <c r="J6" i="15"/>
  <c r="J7" i="15"/>
  <c r="J8" i="15"/>
  <c r="I3" i="15"/>
  <c r="I4" i="15"/>
  <c r="I5" i="15"/>
  <c r="I6" i="15"/>
  <c r="I7" i="15"/>
  <c r="I8" i="15"/>
  <c r="H3" i="15"/>
  <c r="H4" i="15"/>
  <c r="H5" i="15"/>
  <c r="H6" i="15"/>
  <c r="H7" i="15"/>
  <c r="H8" i="15"/>
  <c r="J2" i="15"/>
  <c r="I2" i="15"/>
  <c r="H2" i="15"/>
  <c r="F3" i="15"/>
  <c r="F4" i="15"/>
  <c r="F5" i="15"/>
  <c r="F6" i="15"/>
  <c r="F7" i="15"/>
  <c r="F8" i="15"/>
  <c r="F2" i="15"/>
  <c r="D3" i="15"/>
  <c r="D4" i="15"/>
  <c r="D5" i="15"/>
  <c r="D6" i="15"/>
  <c r="D7" i="15"/>
  <c r="D8" i="15"/>
  <c r="D2" i="15"/>
  <c r="D2" i="11" l="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2" i="11"/>
  <c r="H2" i="11"/>
  <c r="L2" i="11" s="1"/>
  <c r="H3" i="11"/>
  <c r="L3" i="11" s="1"/>
  <c r="H4" i="11"/>
  <c r="L4" i="11" s="1"/>
  <c r="H5" i="11"/>
  <c r="L5" i="11" s="1"/>
  <c r="H6" i="11"/>
  <c r="L6" i="11" s="1"/>
  <c r="H7" i="11"/>
  <c r="L7" i="11" s="1"/>
  <c r="H8" i="11"/>
  <c r="L8" i="11" s="1"/>
  <c r="H9" i="11"/>
  <c r="L9" i="11" s="1"/>
  <c r="H10" i="11"/>
  <c r="L10" i="11" s="1"/>
  <c r="H11" i="11"/>
  <c r="L11" i="11" s="1"/>
  <c r="H12" i="11"/>
  <c r="L12" i="11" s="1"/>
  <c r="H13" i="11"/>
  <c r="L13" i="11" s="1"/>
  <c r="H14" i="11"/>
  <c r="L14" i="11" s="1"/>
  <c r="H15" i="11"/>
  <c r="L15" i="11" s="1"/>
  <c r="H16" i="11"/>
  <c r="L16" i="1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<sst xmlns="http://schemas.openxmlformats.org/spreadsheetml/2006/main" count="880" uniqueCount="372">
  <si>
    <t>Nome</t>
  </si>
  <si>
    <t>Forma de pagamento</t>
  </si>
  <si>
    <t>Tipo de cobrança</t>
  </si>
  <si>
    <t>Vencimento</t>
  </si>
  <si>
    <t>Valor</t>
  </si>
  <si>
    <t>FRIGORIFICO MAISA LTDA</t>
  </si>
  <si>
    <t>Boleto Bancário</t>
  </si>
  <si>
    <t>Cobrança Avulsa</t>
  </si>
  <si>
    <t>REGINA RODRIGUES MORAES</t>
  </si>
  <si>
    <t>SOLEDADE ACÁCIA VIEIRA FAGUNDES</t>
  </si>
  <si>
    <t>FUNDACAO HOSPITALAR DE MONTES CLAROS</t>
  </si>
  <si>
    <t>J AVELINO INDUSTRIA E COMERCIO LTDA</t>
  </si>
  <si>
    <t>VIAÇÃO AVANTI LTDA</t>
  </si>
  <si>
    <t>FRIGORIFICO SANTA TERESINHA COMERCIO E EXPORTACAO LTDA</t>
  </si>
  <si>
    <t>Cobrança Parcelada</t>
  </si>
  <si>
    <t>ANA CRISTINA FROES LOPES</t>
  </si>
  <si>
    <t>Emissão dia da semana</t>
  </si>
  <si>
    <r>
      <t>ACADEMIA O</t>
    </r>
    <r>
      <rPr>
        <b/>
        <vertAlign val="subscript"/>
        <sz val="80"/>
        <color rgb="FFFF0000"/>
        <rFont val="Arial"/>
        <family val="2"/>
      </rPr>
      <t>2</t>
    </r>
  </si>
  <si>
    <t>FATURAS RECEBIDAS</t>
  </si>
  <si>
    <t>FATURAS VENCIDAS</t>
  </si>
  <si>
    <t>quinta-feira</t>
  </si>
  <si>
    <t>domingo</t>
  </si>
  <si>
    <t>sdfnvh</t>
  </si>
  <si>
    <t>kaeudh</t>
  </si>
  <si>
    <t>lksw</t>
  </si>
  <si>
    <t>adasasa</t>
  </si>
  <si>
    <t>sasasasasasasa</t>
  </si>
  <si>
    <t>crtl+shift+ +</t>
  </si>
  <si>
    <t>FRIGORIFICO MAISA LT</t>
  </si>
  <si>
    <t>w</t>
  </si>
  <si>
    <t xml:space="preserve"> </t>
  </si>
  <si>
    <t>Acácia</t>
  </si>
  <si>
    <t>Soledade</t>
  </si>
  <si>
    <t>Adolpho</t>
  </si>
  <si>
    <t>Conrado</t>
  </si>
  <si>
    <t>Vieira</t>
  </si>
  <si>
    <t>Paulo</t>
  </si>
  <si>
    <t>Guimarães</t>
  </si>
  <si>
    <t>Laércio</t>
  </si>
  <si>
    <t>Duarte</t>
  </si>
  <si>
    <t>Lima</t>
  </si>
  <si>
    <t>Cristina</t>
  </si>
  <si>
    <t>Anna</t>
  </si>
  <si>
    <t>Carlos</t>
  </si>
  <si>
    <t>Roberto</t>
  </si>
  <si>
    <t>Joel</t>
  </si>
  <si>
    <t>Vicentini</t>
  </si>
  <si>
    <t>Bruno</t>
  </si>
  <si>
    <t>Rodrigues</t>
  </si>
  <si>
    <t>Maria</t>
  </si>
  <si>
    <t>Aparecida</t>
  </si>
  <si>
    <t>José</t>
  </si>
  <si>
    <t>Nunes</t>
  </si>
  <si>
    <t>Augusto</t>
  </si>
  <si>
    <t>Teixeira</t>
  </si>
  <si>
    <t>Elisa</t>
  </si>
  <si>
    <t xml:space="preserve">IMPORTANTE: AO TENTAR UTILIZAR TEXTO PARA COLUNAS NESTES DADOS, VOCÊ ANTES DEVE COPIAR E COLAR VALORES.
ISSO IMPEDIRÁ DE VOCÊ USAR O TEXTO PARA COLUNAS E AS COLUNAS RETORNAREM SOMENTE AS FÓRMULAS. </t>
  </si>
  <si>
    <t>Fróes</t>
  </si>
  <si>
    <t>Descrição completa</t>
  </si>
  <si>
    <t>Descrição do cliente</t>
  </si>
  <si>
    <t>Nome completo</t>
  </si>
  <si>
    <t>Data de liberação</t>
  </si>
  <si>
    <t>Código do cliente</t>
  </si>
  <si>
    <t>Idade</t>
  </si>
  <si>
    <t>Nascimento</t>
  </si>
  <si>
    <t>Sobrenome</t>
  </si>
  <si>
    <t>Paulo Fróes</t>
  </si>
  <si>
    <t>Elisa Teixeira</t>
  </si>
  <si>
    <t>Augusto Nunes</t>
  </si>
  <si>
    <t>José Rodrigues</t>
  </si>
  <si>
    <t>Maria Aparecida</t>
  </si>
  <si>
    <t>Maria Rodrigues</t>
  </si>
  <si>
    <t>Bruno Vicentini</t>
  </si>
  <si>
    <t>Joel Roberto</t>
  </si>
  <si>
    <t>Roberto Carlos</t>
  </si>
  <si>
    <t>Anna Cristina</t>
  </si>
  <si>
    <t>Lima Duarte</t>
  </si>
  <si>
    <t>Laércio Guimarães</t>
  </si>
  <si>
    <t>Paulo Vieira</t>
  </si>
  <si>
    <t>Conrado Adolpho</t>
  </si>
  <si>
    <t>Soledade Acácia</t>
  </si>
  <si>
    <t>Nome e Nascimento</t>
  </si>
  <si>
    <t>Paulo Fróes - 15/08/1999</t>
  </si>
  <si>
    <t>Elisa Teixeira - 23/10/2005</t>
  </si>
  <si>
    <t>Augusto Nunes - 22/02/1998</t>
  </si>
  <si>
    <t>José Rodrigues - 15/03/1993</t>
  </si>
  <si>
    <t>Maria Aparecida - 31/05/1992</t>
  </si>
  <si>
    <t>Maria Rodrigues - 06/05/2006</t>
  </si>
  <si>
    <t>Bruno Vicentini - 01/11/2007</t>
  </si>
  <si>
    <t>Joel Roberto - 08/01/1994</t>
  </si>
  <si>
    <t>Roberto Carlos - 25/11/1996</t>
  </si>
  <si>
    <t>Anna Cristina - 14/05/2001</t>
  </si>
  <si>
    <t>Lima Duarte - 11/10/2008</t>
  </si>
  <si>
    <t>Laércio Guimarães - 25/06/2008</t>
  </si>
  <si>
    <t>Paulo Vieira - 02/05/2009</t>
  </si>
  <si>
    <t>Conrado Adolpho - 11/12/1990</t>
  </si>
  <si>
    <t>Soledade Acácia - 13/07/1997</t>
  </si>
  <si>
    <t>nomes completo</t>
  </si>
  <si>
    <t>preencimento relampago</t>
  </si>
  <si>
    <t>funcao concatenar</t>
  </si>
  <si>
    <t>Descrição nome e nascimento</t>
  </si>
  <si>
    <t>Paulo Fróes nascido em 15/08/1999</t>
  </si>
  <si>
    <t>Elisa Teixeira nascido em 23/10/2005</t>
  </si>
  <si>
    <t>Augusto Nunes nascido em 22/02/1998</t>
  </si>
  <si>
    <t>José Rodrigues nascido em 15/03/1993</t>
  </si>
  <si>
    <t>Maria Aparecida nascido em 31/05/1992</t>
  </si>
  <si>
    <t>Maria Rodrigues nascido em 06/05/2006</t>
  </si>
  <si>
    <t>Bruno Vicentini nascido em 01/11/2007</t>
  </si>
  <si>
    <t>Joel Roberto nascido em 08/01/1994</t>
  </si>
  <si>
    <t>Roberto Carlos nascido em 25/11/1996</t>
  </si>
  <si>
    <t>Anna Cristina nascido em 14/05/2001</t>
  </si>
  <si>
    <t>Lima Duarte nascido em 11/10/2008</t>
  </si>
  <si>
    <t>Laércio Guimarães nascido em 25/06/2008</t>
  </si>
  <si>
    <t>Paulo Vieira nascido em 02/05/2009</t>
  </si>
  <si>
    <t>Conrado Adolpho nascido em 11/12/1990</t>
  </si>
  <si>
    <t>Soledade Acácia nascido em 13/07/1997</t>
  </si>
  <si>
    <t>Soledade;Acácia</t>
  </si>
  <si>
    <t>Conrado;Adolpho</t>
  </si>
  <si>
    <t>Paulo;Vieira</t>
  </si>
  <si>
    <t>Laércio;Guimarães</t>
  </si>
  <si>
    <t>Lima;Duarte</t>
  </si>
  <si>
    <t>Anna;Cristina</t>
  </si>
  <si>
    <t>Roberto;Carlos</t>
  </si>
  <si>
    <t>Joel;Roberto</t>
  </si>
  <si>
    <t>Bruno;Vicentini</t>
  </si>
  <si>
    <t>Maria;Rodrigues</t>
  </si>
  <si>
    <t>Maria;Aparecida</t>
  </si>
  <si>
    <t>José;Rodrigues</t>
  </si>
  <si>
    <t>Augusto;Nunes</t>
  </si>
  <si>
    <t>Elisa;Teixeira</t>
  </si>
  <si>
    <t>Nome;Sobrenome</t>
  </si>
  <si>
    <t>Nome e sobrenome</t>
  </si>
  <si>
    <t>Paulo|Fróes</t>
  </si>
  <si>
    <t>Elisa|Teixeira</t>
  </si>
  <si>
    <t>Augusto|Nunes</t>
  </si>
  <si>
    <t>José|Rodrigues</t>
  </si>
  <si>
    <t>Maria|Aparecida</t>
  </si>
  <si>
    <t>Maria|Rodrigues</t>
  </si>
  <si>
    <t>Bruno|Vicentini</t>
  </si>
  <si>
    <t>Joel|Roberto</t>
  </si>
  <si>
    <t>Roberto|Carlos</t>
  </si>
  <si>
    <t>Anna|Cristina</t>
  </si>
  <si>
    <t>Lima|Duarte</t>
  </si>
  <si>
    <t>Laércio|Guimarães</t>
  </si>
  <si>
    <t>Paulo|Vieira</t>
  </si>
  <si>
    <t>Conrado|Adolpho</t>
  </si>
  <si>
    <t>Soledade|Acácia</t>
  </si>
  <si>
    <t>Item</t>
  </si>
  <si>
    <t>V. unitário</t>
  </si>
  <si>
    <t>Taxa de entrega</t>
  </si>
  <si>
    <t>Total unitário</t>
  </si>
  <si>
    <t>Quantidade</t>
  </si>
  <si>
    <t>Total do ítem</t>
  </si>
  <si>
    <t>Desconto</t>
  </si>
  <si>
    <t>Desconto em R$</t>
  </si>
  <si>
    <t>Total do ítem com desconto</t>
  </si>
  <si>
    <t>Valor final unitário</t>
  </si>
  <si>
    <t>Sabonete Líquido GL 5L</t>
  </si>
  <si>
    <t>Desinfetante Hospitalar GL 5L</t>
  </si>
  <si>
    <t>Desinfetante Residencial GL 5L</t>
  </si>
  <si>
    <t>Detergente Neutro GL 5L</t>
  </si>
  <si>
    <t>Detergente Ácido GL 5L</t>
  </si>
  <si>
    <t>Detergente Aucalino GL 5L</t>
  </si>
  <si>
    <t>Removedor Multi Uso GL 5L</t>
  </si>
  <si>
    <t>ADICIONAR</t>
  </si>
  <si>
    <t>MULTIPLICAR</t>
  </si>
  <si>
    <t>SUBTRAIR</t>
  </si>
  <si>
    <t>DIVIDIR</t>
  </si>
  <si>
    <t>Data</t>
  </si>
  <si>
    <t>Fornecedor</t>
  </si>
  <si>
    <t>Facebook</t>
  </si>
  <si>
    <t>TOTAL DE DESPESAS:</t>
  </si>
  <si>
    <t>Staage</t>
  </si>
  <si>
    <t>Mercado Livre</t>
  </si>
  <si>
    <t>Integromat</t>
  </si>
  <si>
    <t>Microsoft</t>
  </si>
  <si>
    <t>Apple</t>
  </si>
  <si>
    <t>codigo do cliente</t>
  </si>
  <si>
    <t>nome do  cliente</t>
  </si>
  <si>
    <t xml:space="preserve">carla </t>
  </si>
  <si>
    <t>sabrina</t>
  </si>
  <si>
    <t xml:space="preserve">samanta </t>
  </si>
  <si>
    <t>carol</t>
  </si>
  <si>
    <t>gabriel</t>
  </si>
  <si>
    <t>daniel</t>
  </si>
  <si>
    <t>john</t>
  </si>
  <si>
    <t>esther</t>
  </si>
  <si>
    <t>larissa</t>
  </si>
  <si>
    <t>jonathan</t>
  </si>
  <si>
    <t>sorteio do cliente=</t>
  </si>
  <si>
    <t>o</t>
  </si>
  <si>
    <t>TOTAL ARRED:</t>
  </si>
  <si>
    <t>TOTAL DO MÊS 7, 8 E 9:</t>
  </si>
  <si>
    <t>FUNÇAO</t>
  </si>
  <si>
    <t>ARRED</t>
  </si>
  <si>
    <t>ARREDONDAR.PARA.CIMA</t>
  </si>
  <si>
    <t>ARREDONDAR.PARA.BAIXO</t>
  </si>
  <si>
    <t>INT</t>
  </si>
  <si>
    <t>VALOR</t>
  </si>
  <si>
    <t>RESULTADO</t>
  </si>
  <si>
    <t>RESULTADO COM 1 DEPOIS DA VIRGULA</t>
  </si>
  <si>
    <t>CLIENTE</t>
  </si>
  <si>
    <t>VALOR DA COMPRA</t>
  </si>
  <si>
    <t xml:space="preserve">TOTAL EM COMPRAS: </t>
  </si>
  <si>
    <t>Rose Rico</t>
  </si>
  <si>
    <t>QTD DE CLIENTES QUE COMPRARAM:</t>
  </si>
  <si>
    <t>Liam Tabosa</t>
  </si>
  <si>
    <t>Anselmo França</t>
  </si>
  <si>
    <t xml:space="preserve">QTD DE CLIENTES QUE NÃO COMPRARAM: </t>
  </si>
  <si>
    <t>Ângela Teves</t>
  </si>
  <si>
    <t>TOTAL DE CLIENTES:</t>
  </si>
  <si>
    <t>César Costa</t>
  </si>
  <si>
    <t>Nuna Noronha</t>
  </si>
  <si>
    <t>MAIOR COMPRA:</t>
  </si>
  <si>
    <t>Bernardo Freitas</t>
  </si>
  <si>
    <t>Genésia Azenha</t>
  </si>
  <si>
    <t>MENOR COMPRA:</t>
  </si>
  <si>
    <t>Adriel Arruda</t>
  </si>
  <si>
    <t>Cael Mont'Alverne</t>
  </si>
  <si>
    <t>SEGUNDA MAIOR COMPRA:</t>
  </si>
  <si>
    <t>Benício Moita</t>
  </si>
  <si>
    <t>TERCEIRA MAIOR COMPRA:</t>
  </si>
  <si>
    <t>Yasmina Chamusca</t>
  </si>
  <si>
    <t>QUARTA MAIOR COMPRA:</t>
  </si>
  <si>
    <t>Prapti Cerqueira</t>
  </si>
  <si>
    <t>QUINTA MAIOR COMPRA:</t>
  </si>
  <si>
    <t>Núria Leiria</t>
  </si>
  <si>
    <t>Vítor Trigueiro</t>
  </si>
  <si>
    <t>SEGUNDA MENOR COMPRA:</t>
  </si>
  <si>
    <t>Daiana Gois</t>
  </si>
  <si>
    <t>TERCEIRA MENOR COMPRA:</t>
  </si>
  <si>
    <t>Mohammad Salgado</t>
  </si>
  <si>
    <t>QUARTA MENOR COMPRA:</t>
  </si>
  <si>
    <t>Lucas Prates</t>
  </si>
  <si>
    <t>QUINTA MENOR COMPRA:</t>
  </si>
  <si>
    <t>Kévin Fagundes</t>
  </si>
  <si>
    <t>Gilson Póvoas</t>
  </si>
  <si>
    <t>MÉDIA DAS COMPRAS:</t>
  </si>
  <si>
    <t>FUNCIONÁRIO</t>
  </si>
  <si>
    <t>SALÁRIO</t>
  </si>
  <si>
    <t>NOME ARRUMADO</t>
  </si>
  <si>
    <t>NOME MAIÚSCULO</t>
  </si>
  <si>
    <t>NOME MINÚSCULO</t>
  </si>
  <si>
    <t>NOME SEM "-"</t>
  </si>
  <si>
    <t>NOME CORRETO</t>
  </si>
  <si>
    <t>CARACTERES</t>
  </si>
  <si>
    <t>SALÁRIO R$</t>
  </si>
  <si>
    <t xml:space="preserve">   levi cardoso</t>
  </si>
  <si>
    <t>benjamin   -da-  Conceição</t>
  </si>
  <si>
    <t>milena farias</t>
  </si>
  <si>
    <t>QTD FUNCIONÁRIOS:</t>
  </si>
  <si>
    <t xml:space="preserve"> Davi      costa</t>
  </si>
  <si>
    <t>TOTAL SALÁRIOS:</t>
  </si>
  <si>
    <t>stella -Viana</t>
  </si>
  <si>
    <t>QTD CARACT MAIOR NOME:</t>
  </si>
  <si>
    <t xml:space="preserve">       Caio Viana--------</t>
  </si>
  <si>
    <t>VALOR MAIOR SALÁRIO:</t>
  </si>
  <si>
    <t xml:space="preserve">       kevin            Cunha           </t>
  </si>
  <si>
    <t>Levi  Novaes</t>
  </si>
  <si>
    <t xml:space="preserve"> --------     Luiz Miguel castro--------</t>
  </si>
  <si>
    <t xml:space="preserve">Lara Da Luz         </t>
  </si>
  <si>
    <t>Olivia              alves</t>
  </si>
  <si>
    <t>Maria       ---Alice da        Rocha</t>
  </si>
  <si>
    <t>luiz          Otávio       Lima</t>
  </si>
  <si>
    <t xml:space="preserve"> --------Anthony          cavalcanti</t>
  </si>
  <si>
    <t xml:space="preserve">          -----miguel nogueira</t>
  </si>
  <si>
    <t>cauã              cragão------</t>
  </si>
  <si>
    <t xml:space="preserve">                manuela ---Silva</t>
  </si>
  <si>
    <t>LEVA A CELULA PAR OUTRO LADO</t>
  </si>
  <si>
    <t>Número da semana</t>
  </si>
  <si>
    <t>Prazo pgto semana</t>
  </si>
  <si>
    <t>Prazo pgto dia</t>
  </si>
  <si>
    <t>Prazo pgto mês</t>
  </si>
  <si>
    <t>Prazo pgto ano</t>
  </si>
  <si>
    <t>ID</t>
  </si>
  <si>
    <t>VALOR DA MAIOR COMPRA:</t>
  </si>
  <si>
    <t>LINHA DO MAIOR COMPRADOR:</t>
  </si>
  <si>
    <t>NOME DO MAIOR COMPRADOR</t>
  </si>
  <si>
    <t>TOTAL DAS VENDAS</t>
  </si>
  <si>
    <t>VALOR DA MENOR COMPRA:</t>
  </si>
  <si>
    <t>LINHA DA MENOR COMPRA:</t>
  </si>
  <si>
    <t>NOME DO MENOR COMPRADOR</t>
  </si>
  <si>
    <t>NOME DO CLIENTE:</t>
  </si>
  <si>
    <t>VALOR DA COMPRA DO CLIENTE:</t>
  </si>
  <si>
    <t>PARA ARRUMAR FOI USADO "TEXTO PARA COLUNAS", NA AREA DE DADOS</t>
  </si>
  <si>
    <t>ID DO CLIENTE</t>
  </si>
  <si>
    <t>NOME DO CILENTE</t>
  </si>
  <si>
    <t>liam tabosa</t>
  </si>
  <si>
    <t>NOME DO CLIENTE</t>
  </si>
  <si>
    <t xml:space="preserve">ID DO CLIENTE </t>
  </si>
  <si>
    <t>NOOME DO CLIENTE</t>
  </si>
  <si>
    <t>FATURAS A RECEBER</t>
  </si>
  <si>
    <t>Código</t>
  </si>
  <si>
    <t>Link de acesso</t>
  </si>
  <si>
    <t>10/03/2021</t>
  </si>
  <si>
    <t>30/03/2021</t>
  </si>
  <si>
    <t>22/03/2021</t>
  </si>
  <si>
    <t>30/04/2021</t>
  </si>
  <si>
    <t>13/04/2021</t>
  </si>
  <si>
    <t>23/03/2021</t>
  </si>
  <si>
    <t>11/01/2021</t>
  </si>
  <si>
    <t>25/01/2021</t>
  </si>
  <si>
    <t>18/01/2021</t>
  </si>
  <si>
    <t>06/03/2021</t>
  </si>
  <si>
    <t>STATUS GERAL DAS METAS</t>
  </si>
  <si>
    <t>ALGUMA META FOI ATINGIDA?</t>
  </si>
  <si>
    <t>TODAS AS METAS FORAM ATINGIDAS?</t>
  </si>
  <si>
    <t>CRAVADA</t>
  </si>
  <si>
    <t>STATUS META VENDAS</t>
  </si>
  <si>
    <t>ABAIXO</t>
  </si>
  <si>
    <t>STATUS META TICKET</t>
  </si>
  <si>
    <t>ACIMA</t>
  </si>
  <si>
    <t>META DE VENDAS</t>
  </si>
  <si>
    <t>STATUS META</t>
  </si>
  <si>
    <t>META DE TICKET MÉDIO</t>
  </si>
  <si>
    <t>STATUS TICKET</t>
  </si>
  <si>
    <t>MÉDIA DAS COMPRAS</t>
  </si>
  <si>
    <t>USANDO A FUNÇÃO "SE". USANDO "SE" NA MESMA FORMULA VARIAS VEZES</t>
  </si>
  <si>
    <t>Vendedor</t>
  </si>
  <si>
    <t>Contratação</t>
  </si>
  <si>
    <t>Estado</t>
  </si>
  <si>
    <t>Qtd de vendas</t>
  </si>
  <si>
    <t>Total em vendas</t>
  </si>
  <si>
    <t>Patamar</t>
  </si>
  <si>
    <t>Total em vendas:</t>
  </si>
  <si>
    <t>Meses Iniciante</t>
  </si>
  <si>
    <t>Rafael</t>
  </si>
  <si>
    <t>MG</t>
  </si>
  <si>
    <t>Média de vendas:</t>
  </si>
  <si>
    <t>Meses Júnior</t>
  </si>
  <si>
    <t>Ariadna</t>
  </si>
  <si>
    <t>SE</t>
  </si>
  <si>
    <t>Qtd de vendas:</t>
  </si>
  <si>
    <t>Meses Pleno</t>
  </si>
  <si>
    <t>BA</t>
  </si>
  <si>
    <t>Meses Sênior</t>
  </si>
  <si>
    <t>Matheus</t>
  </si>
  <si>
    <t>AM</t>
  </si>
  <si>
    <t>Cleide</t>
  </si>
  <si>
    <t>SP</t>
  </si>
  <si>
    <t>Qtd vendedores</t>
  </si>
  <si>
    <t>Qtd vendas</t>
  </si>
  <si>
    <t>Vendas</t>
  </si>
  <si>
    <t>Média de vendas</t>
  </si>
  <si>
    <t>Silvana</t>
  </si>
  <si>
    <t>RJ</t>
  </si>
  <si>
    <t>São Paulo</t>
  </si>
  <si>
    <t>Silvio</t>
  </si>
  <si>
    <t>Minas Gerais</t>
  </si>
  <si>
    <t>Nilsa</t>
  </si>
  <si>
    <t>Rio de Janeiro</t>
  </si>
  <si>
    <t>Fernando</t>
  </si>
  <si>
    <t>Maranhão</t>
  </si>
  <si>
    <t>Diley</t>
  </si>
  <si>
    <t>Bahia</t>
  </si>
  <si>
    <t>Ronaldo</t>
  </si>
  <si>
    <t>Espírito Santo</t>
  </si>
  <si>
    <t>Heider</t>
  </si>
  <si>
    <t>PE</t>
  </si>
  <si>
    <t>Mato Grosso</t>
  </si>
  <si>
    <t>Mikael</t>
  </si>
  <si>
    <t>ES</t>
  </si>
  <si>
    <t>Goiás</t>
  </si>
  <si>
    <t>Michelle</t>
  </si>
  <si>
    <t>Tipo</t>
  </si>
  <si>
    <t>Sênior São Paulo</t>
  </si>
  <si>
    <t>Pleno São Paulo</t>
  </si>
  <si>
    <t>Júnior São Paulo</t>
  </si>
  <si>
    <t>Sênior Minas Gerais</t>
  </si>
  <si>
    <t>Pleno Minas Gerais</t>
  </si>
  <si>
    <t>Júnior Minas Gerais</t>
  </si>
  <si>
    <t>A FUNÇÃO "TEXTO" RETORNA O VALOR EM UM FORMATO ESPECIFICO QUE VC ESCOLHEU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</si>
</sst>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dddd"/>
    <numFmt numFmtId="165" formatCode="&quot;R$&quot;\ #,##0.00"/>
    <numFmt numFmtId="166" formatCode="#,##0_ ;\-#,##0\ "/>
    <numFmt numFmtId="169" formatCode="&quot;Montes Claros,&quot;\ dd&quot; de &quot;mmmm&quot; de &quot;yyyy"/>
    <numFmt numFmtId="170" formatCode="[$-F800]dddd\,\ mmmm\ dd\,\ yyyy"/>
    <numFmt numFmtId="171" formatCode="_-* #,##0_-;\-* #,##0_-;_-* &quot;-&quot;??_-;_-@_-"/>
    <numFmt numFmtId="177" formatCode="&quot;HOJE É&quot;\ dd/mm/yyyy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vertAlign val="subscript"/>
      <sz val="80"/>
      <color rgb="FFFF0000"/>
      <name val="Arial"/>
      <family val="2"/>
    </font>
    <font>
      <strike/>
      <sz val="11"/>
      <color rgb="FFFF0000"/>
      <name val="Arial"/>
      <family val="2"/>
    </font>
    <font>
      <b/>
      <sz val="80"/>
      <color theme="0"/>
      <name val="Arial"/>
      <family val="2"/>
    </font>
    <font>
      <b/>
      <sz val="16"/>
      <color theme="0"/>
      <name val="Arial"/>
      <family val="2"/>
    </font>
    <font>
      <b/>
      <i/>
      <sz val="12"/>
      <color theme="0"/>
      <name val="Arial"/>
      <family val="2"/>
    </font>
    <font>
      <b/>
      <sz val="20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0"/>
      <name val="Arial"/>
      <family val="2"/>
    </font>
    <font>
      <b/>
      <sz val="14"/>
      <color theme="0"/>
      <name val="Arial"/>
      <family val="2"/>
    </font>
    <font>
      <b/>
      <i/>
      <sz val="14"/>
      <color theme="0"/>
      <name val="Arial"/>
      <family val="2"/>
    </font>
    <font>
      <b/>
      <sz val="2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14" fillId="0" borderId="0"/>
    <xf numFmtId="43" fontId="1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134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2" fillId="0" borderId="1" xfId="0" applyFont="1" applyBorder="1"/>
    <xf numFmtId="14" fontId="2" fillId="0" borderId="1" xfId="0" applyNumberFormat="1" applyFont="1" applyBorder="1"/>
    <xf numFmtId="44" fontId="2" fillId="0" borderId="1" xfId="1" applyFont="1" applyBorder="1" applyAlignment="1"/>
    <xf numFmtId="164" fontId="2" fillId="0" borderId="1" xfId="0" applyNumberFormat="1" applyFont="1" applyBorder="1"/>
    <xf numFmtId="0" fontId="6" fillId="0" borderId="0" xfId="0" applyFont="1" applyAlignment="1">
      <alignment vertical="center" textRotation="30"/>
    </xf>
    <xf numFmtId="0" fontId="4" fillId="0" borderId="3" xfId="0" applyFont="1" applyBorder="1"/>
    <xf numFmtId="14" fontId="4" fillId="0" borderId="3" xfId="0" applyNumberFormat="1" applyFont="1" applyBorder="1"/>
    <xf numFmtId="165" fontId="4" fillId="0" borderId="3" xfId="0" applyNumberFormat="1" applyFont="1" applyBorder="1"/>
    <xf numFmtId="164" fontId="4" fillId="0" borderId="3" xfId="0" applyNumberFormat="1" applyFont="1" applyBorder="1"/>
    <xf numFmtId="0" fontId="4" fillId="0" borderId="2" xfId="0" applyFont="1" applyBorder="1"/>
    <xf numFmtId="0" fontId="7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14" fontId="2" fillId="0" borderId="0" xfId="0" applyNumberFormat="1" applyFont="1"/>
    <xf numFmtId="44" fontId="2" fillId="0" borderId="0" xfId="1" applyFont="1" applyBorder="1" applyAlignment="1"/>
    <xf numFmtId="164" fontId="2" fillId="0" borderId="0" xfId="0" applyNumberFormat="1" applyFont="1"/>
    <xf numFmtId="0" fontId="10" fillId="0" borderId="0" xfId="0" applyFont="1"/>
    <xf numFmtId="44" fontId="0" fillId="0" borderId="0" xfId="0" applyNumberFormat="1"/>
    <xf numFmtId="49" fontId="0" fillId="0" borderId="0" xfId="0" applyNumberFormat="1"/>
    <xf numFmtId="0" fontId="11" fillId="4" borderId="0" xfId="0" applyFont="1" applyFill="1"/>
    <xf numFmtId="0" fontId="12" fillId="4" borderId="1" xfId="0" applyFont="1" applyFill="1" applyBorder="1"/>
    <xf numFmtId="0" fontId="11" fillId="0" borderId="0" xfId="0" applyFont="1"/>
    <xf numFmtId="9" fontId="0" fillId="0" borderId="0" xfId="0" applyNumberFormat="1"/>
    <xf numFmtId="44" fontId="0" fillId="4" borderId="0" xfId="1" applyFont="1" applyFill="1"/>
    <xf numFmtId="44" fontId="0" fillId="0" borderId="0" xfId="1" applyFont="1"/>
    <xf numFmtId="44" fontId="0" fillId="4" borderId="0" xfId="0" applyNumberFormat="1" applyFill="1"/>
    <xf numFmtId="14" fontId="13" fillId="5" borderId="0" xfId="2" applyNumberFormat="1" applyFont="1" applyFill="1"/>
    <xf numFmtId="0" fontId="13" fillId="5" borderId="0" xfId="2" applyFont="1" applyFill="1"/>
    <xf numFmtId="0" fontId="14" fillId="0" borderId="0" xfId="2"/>
    <xf numFmtId="14" fontId="14" fillId="0" borderId="0" xfId="2" applyNumberFormat="1" applyAlignment="1">
      <alignment vertical="center" wrapText="1"/>
    </xf>
    <xf numFmtId="0" fontId="14" fillId="0" borderId="0" xfId="2" applyAlignment="1">
      <alignment vertical="center" wrapText="1"/>
    </xf>
    <xf numFmtId="8" fontId="14" fillId="0" borderId="0" xfId="2" applyNumberFormat="1" applyAlignment="1">
      <alignment vertical="center" wrapText="1"/>
    </xf>
    <xf numFmtId="14" fontId="14" fillId="0" borderId="0" xfId="2" applyNumberFormat="1"/>
    <xf numFmtId="8" fontId="14" fillId="0" borderId="0" xfId="2" applyNumberFormat="1"/>
    <xf numFmtId="0" fontId="13" fillId="5" borderId="0" xfId="0" applyFont="1" applyFill="1"/>
    <xf numFmtId="0" fontId="15" fillId="6" borderId="4" xfId="0" applyFont="1" applyFill="1" applyBorder="1"/>
    <xf numFmtId="0" fontId="15" fillId="6" borderId="5" xfId="0" applyFont="1" applyFill="1" applyBorder="1"/>
    <xf numFmtId="0" fontId="16" fillId="7" borderId="6" xfId="0" applyFont="1" applyFill="1" applyBorder="1"/>
    <xf numFmtId="44" fontId="16" fillId="7" borderId="7" xfId="1" applyFont="1" applyFill="1" applyBorder="1"/>
    <xf numFmtId="0" fontId="0" fillId="0" borderId="8" xfId="0" applyBorder="1"/>
    <xf numFmtId="44" fontId="0" fillId="0" borderId="9" xfId="1" applyFont="1" applyBorder="1"/>
    <xf numFmtId="0" fontId="16" fillId="7" borderId="10" xfId="0" applyFont="1" applyFill="1" applyBorder="1"/>
    <xf numFmtId="44" fontId="1" fillId="0" borderId="0" xfId="1" applyFont="1"/>
    <xf numFmtId="0" fontId="16" fillId="7" borderId="12" xfId="0" applyFont="1" applyFill="1" applyBorder="1"/>
    <xf numFmtId="44" fontId="16" fillId="7" borderId="13" xfId="1" applyFont="1" applyFill="1" applyBorder="1"/>
    <xf numFmtId="0" fontId="16" fillId="7" borderId="14" xfId="0" applyFont="1" applyFill="1" applyBorder="1"/>
    <xf numFmtId="0" fontId="0" fillId="0" borderId="15" xfId="0" applyBorder="1"/>
    <xf numFmtId="44" fontId="0" fillId="0" borderId="16" xfId="1" applyFont="1" applyBorder="1"/>
    <xf numFmtId="166" fontId="16" fillId="7" borderId="11" xfId="1" applyNumberFormat="1" applyFont="1" applyFill="1" applyBorder="1"/>
    <xf numFmtId="166" fontId="16" fillId="7" borderId="7" xfId="1" applyNumberFormat="1" applyFont="1" applyFill="1" applyBorder="1"/>
    <xf numFmtId="0" fontId="16" fillId="7" borderId="11" xfId="1" applyNumberFormat="1" applyFont="1" applyFill="1" applyBorder="1"/>
    <xf numFmtId="44" fontId="16" fillId="7" borderId="17" xfId="1" applyFont="1" applyFill="1" applyBorder="1"/>
    <xf numFmtId="0" fontId="13" fillId="6" borderId="1" xfId="0" applyFont="1" applyFill="1" applyBorder="1"/>
    <xf numFmtId="0" fontId="0" fillId="0" borderId="1" xfId="0" applyBorder="1"/>
    <xf numFmtId="0" fontId="0" fillId="0" borderId="1" xfId="1" applyNumberFormat="1" applyFont="1" applyBorder="1"/>
    <xf numFmtId="44" fontId="0" fillId="0" borderId="1" xfId="1" applyFont="1" applyBorder="1"/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textRotation="30"/>
    </xf>
    <xf numFmtId="0" fontId="8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14" fontId="11" fillId="4" borderId="0" xfId="0" applyNumberFormat="1" applyFont="1" applyFill="1" applyAlignment="1">
      <alignment horizontal="center"/>
    </xf>
    <xf numFmtId="14" fontId="12" fillId="4" borderId="0" xfId="0" applyNumberFormat="1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9" fontId="18" fillId="2" borderId="18" xfId="0" applyNumberFormat="1" applyFont="1" applyFill="1" applyBorder="1" applyAlignment="1">
      <alignment horizontal="center"/>
    </xf>
    <xf numFmtId="0" fontId="7" fillId="3" borderId="0" xfId="0" applyFont="1" applyFill="1" applyBorder="1" applyAlignment="1">
      <alignment horizontal="center" vertical="center" wrapText="1"/>
    </xf>
    <xf numFmtId="0" fontId="0" fillId="4" borderId="0" xfId="0" applyFill="1"/>
    <xf numFmtId="0" fontId="0" fillId="6" borderId="0" xfId="0" applyFill="1"/>
    <xf numFmtId="0" fontId="2" fillId="0" borderId="1" xfId="0" applyNumberFormat="1" applyFont="1" applyBorder="1"/>
    <xf numFmtId="0" fontId="6" fillId="2" borderId="18" xfId="0" applyFont="1" applyFill="1" applyBorder="1" applyAlignment="1">
      <alignment horizontal="center" vertical="center" textRotation="30"/>
    </xf>
    <xf numFmtId="0" fontId="16" fillId="7" borderId="0" xfId="0" applyFont="1" applyFill="1"/>
    <xf numFmtId="44" fontId="16" fillId="7" borderId="0" xfId="1" applyFont="1" applyFill="1" applyBorder="1"/>
    <xf numFmtId="0" fontId="16" fillId="7" borderId="0" xfId="1" applyNumberFormat="1" applyFont="1" applyFill="1" applyBorder="1"/>
    <xf numFmtId="0" fontId="16" fillId="7" borderId="0" xfId="1" applyNumberFormat="1" applyFont="1" applyFill="1" applyBorder="1" applyAlignment="1">
      <alignment horizontal="center"/>
    </xf>
    <xf numFmtId="0" fontId="20" fillId="6" borderId="0" xfId="0" applyFont="1" applyFill="1" applyAlignment="1">
      <alignment horizontal="center" vertical="center" wrapText="1"/>
    </xf>
    <xf numFmtId="44" fontId="16" fillId="7" borderId="0" xfId="1" applyFont="1" applyFill="1" applyBorder="1" applyAlignment="1">
      <alignment horizontal="center"/>
    </xf>
    <xf numFmtId="44" fontId="16" fillId="7" borderId="0" xfId="1" applyFont="1" applyFill="1"/>
    <xf numFmtId="0" fontId="16" fillId="7" borderId="0" xfId="1" applyNumberFormat="1" applyFont="1" applyFill="1" applyBorder="1" applyAlignment="1">
      <alignment horizontal="center"/>
    </xf>
    <xf numFmtId="44" fontId="16" fillId="7" borderId="0" xfId="1" applyFont="1" applyFill="1" applyBorder="1" applyAlignment="1">
      <alignment horizontal="center"/>
    </xf>
    <xf numFmtId="44" fontId="16" fillId="7" borderId="0" xfId="1" applyFont="1" applyFill="1" applyAlignment="1">
      <alignment horizontal="left" vertical="top"/>
    </xf>
    <xf numFmtId="0" fontId="5" fillId="2" borderId="0" xfId="0" applyFont="1" applyFill="1" applyAlignment="1">
      <alignment horizontal="center"/>
    </xf>
    <xf numFmtId="0" fontId="21" fillId="2" borderId="0" xfId="0" applyFont="1" applyFill="1" applyAlignment="1">
      <alignment horizontal="center" vertical="center" textRotation="45"/>
    </xf>
    <xf numFmtId="0" fontId="21" fillId="0" borderId="0" xfId="0" applyFont="1" applyAlignment="1">
      <alignment vertical="center" textRotation="45"/>
    </xf>
    <xf numFmtId="0" fontId="22" fillId="3" borderId="19" xfId="0" applyFont="1" applyFill="1" applyBorder="1" applyAlignment="1">
      <alignment vertical="center" wrapText="1"/>
    </xf>
    <xf numFmtId="0" fontId="22" fillId="3" borderId="20" xfId="0" applyFont="1" applyFill="1" applyBorder="1" applyAlignment="1">
      <alignment horizontal="center" vertical="center" wrapText="1"/>
    </xf>
    <xf numFmtId="14" fontId="22" fillId="3" borderId="20" xfId="0" applyNumberFormat="1" applyFont="1" applyFill="1" applyBorder="1" applyAlignment="1">
      <alignment horizontal="center" vertical="center" wrapText="1"/>
    </xf>
    <xf numFmtId="0" fontId="22" fillId="3" borderId="21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wrapText="1"/>
    </xf>
    <xf numFmtId="0" fontId="2" fillId="0" borderId="22" xfId="0" applyFont="1" applyBorder="1"/>
    <xf numFmtId="165" fontId="2" fillId="0" borderId="22" xfId="0" applyNumberFormat="1" applyFont="1" applyBorder="1"/>
    <xf numFmtId="0" fontId="2" fillId="0" borderId="1" xfId="0" applyFont="1" applyBorder="1" applyAlignment="1">
      <alignment wrapText="1"/>
    </xf>
    <xf numFmtId="165" fontId="2" fillId="0" borderId="1" xfId="0" applyNumberFormat="1" applyFont="1" applyBorder="1"/>
    <xf numFmtId="0" fontId="4" fillId="0" borderId="1" xfId="0" applyFont="1" applyBorder="1" applyAlignment="1">
      <alignment wrapText="1"/>
    </xf>
    <xf numFmtId="0" fontId="4" fillId="0" borderId="1" xfId="0" applyFont="1" applyBorder="1"/>
    <xf numFmtId="165" fontId="4" fillId="0" borderId="1" xfId="0" applyNumberFormat="1" applyFont="1" applyBorder="1"/>
    <xf numFmtId="0" fontId="19" fillId="0" borderId="22" xfId="4" applyBorder="1"/>
    <xf numFmtId="0" fontId="19" fillId="0" borderId="1" xfId="4" applyBorder="1"/>
    <xf numFmtId="44" fontId="0" fillId="0" borderId="9" xfId="1" applyFont="1" applyBorder="1" applyAlignment="1">
      <alignment horizontal="center"/>
    </xf>
    <xf numFmtId="0" fontId="17" fillId="0" borderId="0" xfId="0" applyFont="1"/>
    <xf numFmtId="0" fontId="0" fillId="0" borderId="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6" fillId="4" borderId="23" xfId="0" applyFont="1" applyFill="1" applyBorder="1" applyAlignment="1">
      <alignment horizontal="center"/>
    </xf>
    <xf numFmtId="0" fontId="16" fillId="4" borderId="24" xfId="0" applyFont="1" applyFill="1" applyBorder="1" applyAlignment="1">
      <alignment horizontal="center"/>
    </xf>
    <xf numFmtId="0" fontId="15" fillId="6" borderId="0" xfId="0" applyFont="1" applyFill="1"/>
    <xf numFmtId="0" fontId="20" fillId="6" borderId="18" xfId="0" applyFont="1" applyFill="1" applyBorder="1" applyAlignment="1">
      <alignment horizontal="center" vertical="center" wrapText="1"/>
    </xf>
    <xf numFmtId="2" fontId="0" fillId="0" borderId="0" xfId="1" applyNumberFormat="1" applyFont="1"/>
    <xf numFmtId="0" fontId="13" fillId="8" borderId="1" xfId="0" applyFont="1" applyFill="1" applyBorder="1"/>
    <xf numFmtId="0" fontId="13" fillId="8" borderId="25" xfId="0" applyFont="1" applyFill="1" applyBorder="1"/>
    <xf numFmtId="14" fontId="0" fillId="0" borderId="1" xfId="0" applyNumberFormat="1" applyBorder="1"/>
    <xf numFmtId="171" fontId="0" fillId="0" borderId="1" xfId="3" applyNumberFormat="1" applyFont="1" applyBorder="1"/>
    <xf numFmtId="0" fontId="13" fillId="8" borderId="0" xfId="0" applyFont="1" applyFill="1"/>
    <xf numFmtId="170" fontId="23" fillId="0" borderId="26" xfId="0" applyNumberFormat="1" applyFont="1" applyBorder="1" applyAlignment="1">
      <alignment horizontal="center" vertical="center"/>
    </xf>
    <xf numFmtId="170" fontId="23" fillId="0" borderId="27" xfId="0" applyNumberFormat="1" applyFont="1" applyBorder="1" applyAlignment="1">
      <alignment horizontal="center" vertical="center"/>
    </xf>
    <xf numFmtId="170" fontId="23" fillId="0" borderId="28" xfId="0" applyNumberFormat="1" applyFont="1" applyBorder="1" applyAlignment="1">
      <alignment horizontal="center" vertical="center"/>
    </xf>
    <xf numFmtId="170" fontId="23" fillId="0" borderId="29" xfId="0" applyNumberFormat="1" applyFont="1" applyBorder="1" applyAlignment="1">
      <alignment horizontal="center" vertical="center"/>
    </xf>
    <xf numFmtId="170" fontId="23" fillId="0" borderId="30" xfId="0" applyNumberFormat="1" applyFont="1" applyBorder="1" applyAlignment="1">
      <alignment horizontal="center" vertical="center"/>
    </xf>
    <xf numFmtId="170" fontId="23" fillId="0" borderId="31" xfId="0" applyNumberFormat="1" applyFont="1" applyBorder="1" applyAlignment="1">
      <alignment horizontal="center" vertical="center"/>
    </xf>
    <xf numFmtId="170" fontId="23" fillId="0" borderId="18" xfId="0" applyNumberFormat="1" applyFont="1" applyBorder="1" applyAlignment="1">
      <alignment horizontal="center" vertical="center"/>
    </xf>
    <xf numFmtId="170" fontId="23" fillId="0" borderId="3" xfId="0" applyNumberFormat="1" applyFont="1" applyBorder="1" applyAlignment="1">
      <alignment horizontal="center" vertical="center"/>
    </xf>
    <xf numFmtId="170" fontId="23" fillId="0" borderId="0" xfId="0" applyNumberFormat="1" applyFont="1" applyBorder="1" applyAlignment="1">
      <alignment horizontal="center" vertical="center"/>
    </xf>
    <xf numFmtId="177" fontId="23" fillId="0" borderId="26" xfId="0" applyNumberFormat="1" applyFont="1" applyBorder="1" applyAlignment="1">
      <alignment horizontal="center" vertical="center"/>
    </xf>
    <xf numFmtId="177" fontId="23" fillId="0" borderId="27" xfId="0" applyNumberFormat="1" applyFont="1" applyBorder="1" applyAlignment="1">
      <alignment horizontal="center" vertical="center"/>
    </xf>
    <xf numFmtId="177" fontId="23" fillId="0" borderId="28" xfId="0" applyNumberFormat="1" applyFont="1" applyBorder="1" applyAlignment="1">
      <alignment horizontal="center" vertical="center"/>
    </xf>
    <xf numFmtId="177" fontId="23" fillId="0" borderId="29" xfId="0" applyNumberFormat="1" applyFont="1" applyBorder="1" applyAlignment="1">
      <alignment horizontal="center" vertical="center"/>
    </xf>
    <xf numFmtId="177" fontId="23" fillId="0" borderId="0" xfId="0" applyNumberFormat="1" applyFont="1" applyBorder="1" applyAlignment="1">
      <alignment horizontal="center" vertical="center"/>
    </xf>
    <xf numFmtId="177" fontId="23" fillId="0" borderId="30" xfId="0" applyNumberFormat="1" applyFont="1" applyBorder="1" applyAlignment="1">
      <alignment horizontal="center" vertical="center"/>
    </xf>
    <xf numFmtId="177" fontId="23" fillId="0" borderId="31" xfId="0" applyNumberFormat="1" applyFont="1" applyBorder="1" applyAlignment="1">
      <alignment horizontal="center" vertical="center"/>
    </xf>
    <xf numFmtId="177" fontId="23" fillId="0" borderId="18" xfId="0" applyNumberFormat="1" applyFont="1" applyBorder="1" applyAlignment="1">
      <alignment horizontal="center" vertical="center"/>
    </xf>
    <xf numFmtId="177" fontId="23" fillId="0" borderId="3" xfId="0" applyNumberFormat="1" applyFont="1" applyBorder="1" applyAlignment="1">
      <alignment horizontal="center" vertical="center"/>
    </xf>
  </cellXfs>
  <cellStyles count="5">
    <cellStyle name="Hiperlink" xfId="4" builtinId="8"/>
    <cellStyle name="Moeda" xfId="1" builtinId="4"/>
    <cellStyle name="Normal" xfId="0" builtinId="0"/>
    <cellStyle name="Normal 2" xfId="2" xr:uid="{04F20BFF-A779-4666-A9C8-FEE4FCAC1BCE}"/>
    <cellStyle name="Vírgula" xfId="3" builtinId="3"/>
  </cellStyles>
  <dxfs count="11"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customXml" Target="../ink/ink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324600</xdr:colOff>
      <xdr:row>16</xdr:row>
      <xdr:rowOff>18720</xdr:rowOff>
    </xdr:from>
    <xdr:to>
      <xdr:col>3</xdr:col>
      <xdr:colOff>335400</xdr:colOff>
      <xdr:row>18</xdr:row>
      <xdr:rowOff>137520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Tinta 1">
              <a:extLst>
                <a:ext uri="{FF2B5EF4-FFF2-40B4-BE49-F238E27FC236}">
                  <a16:creationId xmlns:a16="http://schemas.microsoft.com/office/drawing/2014/main" id="{18ADBE35-F14B-4C5D-AB86-C9EA904E9339}"/>
                </a:ext>
              </a:extLst>
            </xdr14:cNvPr>
            <xdr14:cNvContentPartPr/>
          </xdr14:nvContentPartPr>
          <xdr14:nvPr macro=""/>
          <xdr14:xfrm>
            <a:off x="2945880" y="2944800"/>
            <a:ext cx="10800" cy="484560"/>
          </xdr14:xfrm>
        </xdr:contentPart>
      </mc:Choice>
      <mc:Fallback xmlns="">
        <xdr:pic>
          <xdr:nvPicPr>
            <xdr:cNvPr id="2" name="Tinta 1">
              <a:extLst>
                <a:ext uri="{FF2B5EF4-FFF2-40B4-BE49-F238E27FC236}">
                  <a16:creationId xmlns:a16="http://schemas.microsoft.com/office/drawing/2014/main" id="{18ADBE35-F14B-4C5D-AB86-C9EA904E933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936880" y="2935800"/>
              <a:ext cx="28440" cy="50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259080</xdr:colOff>
      <xdr:row>16</xdr:row>
      <xdr:rowOff>33120</xdr:rowOff>
    </xdr:from>
    <xdr:to>
      <xdr:col>3</xdr:col>
      <xdr:colOff>481560</xdr:colOff>
      <xdr:row>16</xdr:row>
      <xdr:rowOff>135000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8" name="Tinta 7">
              <a:extLst>
                <a:ext uri="{FF2B5EF4-FFF2-40B4-BE49-F238E27FC236}">
                  <a16:creationId xmlns:a16="http://schemas.microsoft.com/office/drawing/2014/main" id="{070D7356-2904-46F9-BD99-0EDFB8B654A9}"/>
                </a:ext>
              </a:extLst>
            </xdr14:cNvPr>
            <xdr14:cNvContentPartPr/>
          </xdr14:nvContentPartPr>
          <xdr14:nvPr macro=""/>
          <xdr14:xfrm>
            <a:off x="2880360" y="2959200"/>
            <a:ext cx="222480" cy="101880"/>
          </xdr14:xfrm>
        </xdr:contentPart>
      </mc:Choice>
      <mc:Fallback xmlns="">
        <xdr:pic>
          <xdr:nvPicPr>
            <xdr:cNvPr id="8" name="Tinta 7">
              <a:extLst>
                <a:ext uri="{FF2B5EF4-FFF2-40B4-BE49-F238E27FC236}">
                  <a16:creationId xmlns:a16="http://schemas.microsoft.com/office/drawing/2014/main" id="{070D7356-2904-46F9-BD99-0EDFB8B654A9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871360" y="2950200"/>
              <a:ext cx="240120" cy="11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174960</xdr:colOff>
      <xdr:row>15</xdr:row>
      <xdr:rowOff>114120</xdr:rowOff>
    </xdr:from>
    <xdr:to>
      <xdr:col>2</xdr:col>
      <xdr:colOff>515880</xdr:colOff>
      <xdr:row>16</xdr:row>
      <xdr:rowOff>167040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1" name="Tinta 10">
              <a:extLst>
                <a:ext uri="{FF2B5EF4-FFF2-40B4-BE49-F238E27FC236}">
                  <a16:creationId xmlns:a16="http://schemas.microsoft.com/office/drawing/2014/main" id="{2465184B-829D-437E-A6E4-500204076151}"/>
                </a:ext>
              </a:extLst>
            </xdr14:cNvPr>
            <xdr14:cNvContentPartPr/>
          </xdr14:nvContentPartPr>
          <xdr14:nvPr macro=""/>
          <xdr14:xfrm>
            <a:off x="1683720" y="2857320"/>
            <a:ext cx="340920" cy="235800"/>
          </xdr14:xfrm>
        </xdr:contentPart>
      </mc:Choice>
      <mc:Fallback xmlns="">
        <xdr:pic>
          <xdr:nvPicPr>
            <xdr:cNvPr id="11" name="Tinta 10">
              <a:extLst>
                <a:ext uri="{FF2B5EF4-FFF2-40B4-BE49-F238E27FC236}">
                  <a16:creationId xmlns:a16="http://schemas.microsoft.com/office/drawing/2014/main" id="{2465184B-829D-437E-A6E4-50020407615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674720" y="2848320"/>
              <a:ext cx="358560" cy="25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197940</xdr:colOff>
      <xdr:row>18</xdr:row>
      <xdr:rowOff>0</xdr:rowOff>
    </xdr:from>
    <xdr:to>
      <xdr:col>7</xdr:col>
      <xdr:colOff>198300</xdr:colOff>
      <xdr:row>18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32" name="Tinta 31">
              <a:extLst>
                <a:ext uri="{FF2B5EF4-FFF2-40B4-BE49-F238E27FC236}">
                  <a16:creationId xmlns:a16="http://schemas.microsoft.com/office/drawing/2014/main" id="{4247247F-2E48-45F7-900C-95546D9A2187}"/>
                </a:ext>
              </a:extLst>
            </xdr14:cNvPr>
            <xdr14:cNvContentPartPr/>
          </xdr14:nvContentPartPr>
          <xdr14:nvPr macro=""/>
          <xdr14:xfrm>
            <a:off x="6834960" y="3291840"/>
            <a:ext cx="360" cy="360"/>
          </xdr14:xfrm>
        </xdr:contentPart>
      </mc:Choice>
      <mc:Fallback xmlns="">
        <xdr:pic>
          <xdr:nvPicPr>
            <xdr:cNvPr id="32" name="Tinta 31">
              <a:extLst>
                <a:ext uri="{FF2B5EF4-FFF2-40B4-BE49-F238E27FC236}">
                  <a16:creationId xmlns:a16="http://schemas.microsoft.com/office/drawing/2014/main" id="{4247247F-2E48-45F7-900C-95546D9A2187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6825960" y="32828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708600</xdr:colOff>
      <xdr:row>3</xdr:row>
      <xdr:rowOff>38040</xdr:rowOff>
    </xdr:from>
    <xdr:to>
      <xdr:col>10</xdr:col>
      <xdr:colOff>55005</xdr:colOff>
      <xdr:row>7</xdr:row>
      <xdr:rowOff>111540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Tinta 1">
              <a:extLst>
                <a:ext uri="{FF2B5EF4-FFF2-40B4-BE49-F238E27FC236}">
                  <a16:creationId xmlns:a16="http://schemas.microsoft.com/office/drawing/2014/main" id="{6DAF6122-D16B-48C4-A5C5-9D7EC50A280E}"/>
                </a:ext>
              </a:extLst>
            </xdr14:cNvPr>
            <xdr14:cNvContentPartPr/>
          </xdr14:nvContentPartPr>
          <xdr14:nvPr macro=""/>
          <xdr14:xfrm>
            <a:off x="10233600" y="647640"/>
            <a:ext cx="1529535" cy="797400"/>
          </xdr14:xfrm>
        </xdr:contentPart>
      </mc:Choice>
      <mc:Fallback>
        <xdr:pic>
          <xdr:nvPicPr>
            <xdr:cNvPr id="2" name="Tinta 1">
              <a:extLst>
                <a:ext uri="{FF2B5EF4-FFF2-40B4-BE49-F238E27FC236}">
                  <a16:creationId xmlns:a16="http://schemas.microsoft.com/office/drawing/2014/main" id="{6DAF6122-D16B-48C4-A5C5-9D7EC50A280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225047" y="638640"/>
              <a:ext cx="1546997" cy="8150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13T14:14:43.60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30 1345 24575,'-1'-900'0,"-9"773"0,-1 10 0,13 56-16,0 43-209,-2 0 0,1 0 0,-2 0 1,-1 0-1,-3-19 0,0 24-6601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13T14:15:16.725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1 204 24575,'4'-1'0,"0"-1"0,1 0 0,-1 0 0,0 0 0,1 0 0,-1-1 0,-1 1 0,1-1 0,5-5 0,6-4 0,-4 5 0,0-1 0,-1-1 0,14-13 0,-21 19 0,1-1 0,-1 0 0,-1 0 0,1 0 0,0-1 0,-1 1 0,0 0 0,0-1 0,0 0 0,-1 1 0,0-1 0,2-8 0,-3 8 0,1-1 0,0 1 0,0-1 0,1 1 0,3-9 0,-5 13 0,1 0 0,-1 0 0,0 0 0,1 1 0,-1-1 0,1 0 0,0 0 0,-1 1 0,1-1 0,0 0 0,-1 1 0,1-1 0,0 1 0,0-1 0,0 1 0,-1-1 0,1 1 0,0 0 0,0-1 0,0 1 0,0 0 0,0 0 0,0 0 0,-1-1 0,1 1 0,0 0 0,0 0 0,0 0 0,0 1 0,0-1 0,0 0 0,0 0 0,0 0 0,0 1 0,-1-1 0,1 0 0,0 1 0,0-1 0,0 1 0,0-1 0,-1 1 0,2 0 0,112 62 0,-105-58 0,10 5 0,-1-1 0,1-1 0,34 10 0,-45-15 0,-1 1 0,0-1 0,0 1 0,0 0 0,-1 1 0,1 0 0,-1 0 0,0 0 0,-1 1 0,1-1 0,-1 2 0,8 11 0,-4-7 0,0-1 0,18 18 0,18 4-1365,-32-24-5461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13T14:15:18.76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1 572 24575,'0'-3'0,"0"0"0,1-1 0,0 1 0,0 0 0,0 0 0,0 0 0,0 0 0,1 0 0,-1 0 0,1 0 0,0 0 0,0 0 0,4-3 0,36-35 0,-23 23 0,9-6 0,1 0 0,1 2 0,49-26 0,-15 8 0,-32 18 0,37-35 0,18-13 0,-61 47 0,-24 19 0,1 1 0,0 0 0,0 0 0,0 0 0,1 1 0,-1-1 0,1 1 0,0 0 0,-1 0 0,5-2 0,19-10 0,-23 11 0,1 0 0,0 1 0,-1-1 0,1 1 0,0 0 0,7-1 0,-11 3 0,1-1 0,-1 1 0,1 0 0,-1 0 0,1 0 0,-1 1 0,1-1 0,-1 0 0,1 0 0,-1 1 0,1-1 0,-1 1 0,1 0 0,-1-1 0,0 1 0,1 0 0,-1 0 0,0 0 0,0 0 0,1 0 0,-1 0 0,0 0 0,0 0 0,0 0 0,0 0 0,1 3 0,27 39 0,40 82 0,-51-66 0,-14-45 0,0-1 0,9 23 0,-2-13 0,1 4 0,1 0 0,2-1 0,34 46 0,-16-21-1365,-27-40-5461</inkml:trace>
  <inkml:trace contextRef="#ctx0" brushRef="#br0" timeOffset="1408.97">573 0 24575,'0'30'0,"0"1"0,0-1 0,-2 0 0,-9 50 0,6-54 0,1 0 0,1 31 0,-6 37 0,-14 54 0,20-125-682,-2 38-1,5-43-6143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13T14:15:59.63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24575,'0'0'-8191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13T17:35:37.93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0 24575,'27'22'0,"1"-1"0,1-1 0,1-2 0,0 0 0,61 23 0,-37-16 0,192 80 0,-194-84 0,-44-18 0,341 154 0,26 39 0,-37-22 0,-325-167 0,152 88 0,-15-10 0,-148-84 0,31 18 0,2-1 0,59 21 0,-87-36 0,-1 0 0,1 0 0,-1 1 0,1 0 0,6 6 0,23 12 0,108 49 0,-73-34 0,139 52 0,-99-45 0,-81-30 0,1-1 0,64 17 0,-66-21 0,-1 1 0,0 1 0,0 1 0,37 24 0,-42-24 0,23 10 0,0-2 0,67 19 0,-66-24 0,-12-1 0,-1 1 0,46 28 0,-18-8 0,10 13 0,-55-35 0,1-1 0,22 12 0,58 37-1365,-76-49-5461</inkml:trace>
  <inkml:trace contextRef="#ctx0" brushRef="#br0" timeOffset="1">4084 1507 24575,'3'2'0,"0"0"0,0 1 0,0-1 0,0 1 0,0-1 0,0 1 0,-1 0 0,1 0 0,-1 0 0,0 0 0,0 0 0,2 5 0,7 8 0,0-1 0,-1 1 0,-1 0 0,0 0 0,-1 1 0,-1 1 0,-1-1 0,0 1 0,4 23 0,6 17 0,3-7 0,-13-36 0,0-1 0,-2 1 0,1 0 0,-2 1 0,3 21 0,4 20 0,-7-47 0,-1-1 0,0 0 0,-1 1 0,0-1 0,0 1 0,-1 0 0,0-1 0,-2 13 0,1-20 0,0 0 0,0 0 0,0 1 0,-1-1 0,1 0 0,-1 0 0,1-1 0,-1 1 0,0 0 0,1 0 0,-1-1 0,0 1 0,0-1 0,0 0 0,0 1 0,-1-1 0,1 0 0,0 0 0,0 0 0,-1-1 0,1 1 0,-1 0 0,1-1 0,-1 0 0,-3 1 0,-10 0 0,0 0 0,-30-3 0,27 0 0,-15 3 0,1 0 0,-43 9 0,39-5 0,-54 2 0,43-7 0,1 1 0,-74 13 0,-49 12 0,168-25 0,1-1 0,0 1 0,0-1 0,-1 0 0,1 0 0,0 0 0,-1 0 0,1 0 0,0 0 0,-1 0 0,1 0 0,0-1 0,-1 1 0,1 0 0,0-1 0,0 1 0,-1-1 0,1 0 0,0 1 0,0-1 0,0 0 0,0 1 0,0-1 0,0 0 0,0 0 0,0 0 0,0 0 0,0 0 0,0 0 0,1 0 0,-1 0 0,0-1 0,1 1 0,-1 0 0,1 0 0,-1-1 0,1 1 0,0 0 0,0 0 0,-1-1 0,1 1 0,0 0 0,0-1 0,0 1 0,0 0 0,1-1 0,-1 1 0,0 0 0,0 0 0,1-1 0,-1 1 0,2-2 0,0-6 0,1 1 0,-1 0 0,2 0 0,-1 0 0,1 0 0,9-13 0,6-3 0,21-29 0,73-73 0,-90 101 0,-1-1 0,32-48 0,-33 43 0,48-53 0,-36 49-114,-20 19-25,1 1 0,0 0 0,1 1 0,1 1 0,0 1 0,1 0 0,0 1 0,30-15 0,-29 20-6687</inkml:trace>
</inkml: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70AF1-9442-49DE-9353-57E89E7F1D16}">
  <sheetPr>
    <tabColor theme="2" tint="-0.749992370372631"/>
  </sheetPr>
  <dimension ref="A1:L335"/>
  <sheetViews>
    <sheetView zoomScale="90" zoomScaleNormal="90" zoomScaleSheetLayoutView="88" workbookViewId="0">
      <selection activeCell="E4" sqref="E4"/>
    </sheetView>
  </sheetViews>
  <sheetFormatPr defaultColWidth="8.88671875" defaultRowHeight="14.4" x14ac:dyDescent="0.3"/>
  <cols>
    <col min="1" max="1" width="40" bestFit="1" customWidth="1"/>
    <col min="2" max="2" width="23.33203125" customWidth="1"/>
    <col min="3" max="3" width="16.5546875" bestFit="1" customWidth="1"/>
    <col min="4" max="4" width="18.6640625" style="1" customWidth="1"/>
    <col min="5" max="5" width="18.88671875" style="1" customWidth="1"/>
    <col min="6" max="6" width="35.88671875" customWidth="1"/>
    <col min="7" max="7" width="19.44140625" customWidth="1"/>
    <col min="9" max="9" width="11.33203125" bestFit="1" customWidth="1"/>
  </cols>
  <sheetData>
    <row r="1" spans="1:12" ht="118.95" customHeight="1" x14ac:dyDescent="0.3">
      <c r="A1" s="61" t="s">
        <v>17</v>
      </c>
      <c r="B1" s="61"/>
      <c r="C1" s="61"/>
      <c r="D1" s="61"/>
      <c r="E1" s="61"/>
      <c r="F1" s="62" t="s">
        <v>19</v>
      </c>
      <c r="G1" s="8"/>
    </row>
    <row r="2" spans="1:12" ht="17.399999999999999" customHeight="1" x14ac:dyDescent="0.3">
      <c r="A2" s="61"/>
      <c r="B2" s="61"/>
      <c r="C2" s="61"/>
      <c r="D2" s="61"/>
      <c r="E2" s="61"/>
      <c r="F2" s="62"/>
      <c r="G2" s="8"/>
    </row>
    <row r="3" spans="1:12" ht="18.600000000000001" customHeight="1" x14ac:dyDescent="0.3">
      <c r="A3" s="2"/>
      <c r="B3" s="2"/>
      <c r="C3" s="2"/>
      <c r="D3" s="3"/>
      <c r="E3" s="3"/>
      <c r="F3" s="2"/>
      <c r="I3" s="63" t="s">
        <v>27</v>
      </c>
      <c r="J3" s="63"/>
      <c r="K3" s="63"/>
    </row>
    <row r="4" spans="1:12" ht="31.2" x14ac:dyDescent="0.3">
      <c r="A4" s="14" t="s">
        <v>0</v>
      </c>
      <c r="B4" s="15" t="s">
        <v>1</v>
      </c>
      <c r="C4" s="15" t="s">
        <v>2</v>
      </c>
      <c r="D4" s="16" t="s">
        <v>3</v>
      </c>
      <c r="E4" s="69" t="s">
        <v>4</v>
      </c>
      <c r="F4" s="15" t="s">
        <v>16</v>
      </c>
      <c r="I4" s="63"/>
      <c r="J4" s="63"/>
      <c r="K4" s="63"/>
      <c r="L4" t="s">
        <v>268</v>
      </c>
    </row>
    <row r="5" spans="1:12" x14ac:dyDescent="0.3">
      <c r="A5" s="13" t="s">
        <v>9</v>
      </c>
      <c r="B5" s="9" t="s">
        <v>6</v>
      </c>
      <c r="C5" s="9" t="s">
        <v>7</v>
      </c>
      <c r="D5" s="10">
        <v>44316</v>
      </c>
      <c r="E5" s="11">
        <v>580</v>
      </c>
      <c r="F5" s="12" t="s">
        <v>20</v>
      </c>
    </row>
    <row r="6" spans="1:12" x14ac:dyDescent="0.3">
      <c r="A6" s="13" t="s">
        <v>23</v>
      </c>
      <c r="B6" s="9" t="s">
        <v>22</v>
      </c>
      <c r="C6" s="9" t="s">
        <v>24</v>
      </c>
      <c r="D6" s="10" t="s">
        <v>29</v>
      </c>
      <c r="E6" s="11" t="s">
        <v>25</v>
      </c>
      <c r="F6" s="12" t="s">
        <v>26</v>
      </c>
    </row>
    <row r="7" spans="1:12" x14ac:dyDescent="0.3">
      <c r="A7" s="13" t="s">
        <v>12</v>
      </c>
      <c r="B7" s="9" t="s">
        <v>6</v>
      </c>
      <c r="C7" s="9" t="s">
        <v>7</v>
      </c>
      <c r="D7" s="10">
        <v>44221</v>
      </c>
      <c r="E7" s="11">
        <v>538.91999999999996</v>
      </c>
      <c r="F7" s="12" t="s">
        <v>21</v>
      </c>
    </row>
    <row r="8" spans="1:12" x14ac:dyDescent="0.3">
      <c r="D8"/>
    </row>
    <row r="9" spans="1:12" x14ac:dyDescent="0.3">
      <c r="D9"/>
    </row>
    <row r="10" spans="1:12" x14ac:dyDescent="0.3">
      <c r="D10"/>
    </row>
    <row r="11" spans="1:12" x14ac:dyDescent="0.3">
      <c r="D11"/>
    </row>
    <row r="12" spans="1:12" x14ac:dyDescent="0.3">
      <c r="D12"/>
    </row>
    <row r="13" spans="1:12" x14ac:dyDescent="0.3">
      <c r="D13"/>
    </row>
    <row r="14" spans="1:12" x14ac:dyDescent="0.3">
      <c r="D14"/>
    </row>
    <row r="15" spans="1:12" x14ac:dyDescent="0.3">
      <c r="D15"/>
    </row>
    <row r="16" spans="1:12" x14ac:dyDescent="0.3">
      <c r="D16"/>
    </row>
    <row r="17" spans="4:4" x14ac:dyDescent="0.3">
      <c r="D17"/>
    </row>
    <row r="18" spans="4:4" x14ac:dyDescent="0.3">
      <c r="D18"/>
    </row>
    <row r="19" spans="4:4" x14ac:dyDescent="0.3">
      <c r="D19"/>
    </row>
    <row r="20" spans="4:4" x14ac:dyDescent="0.3">
      <c r="D20"/>
    </row>
    <row r="21" spans="4:4" x14ac:dyDescent="0.3">
      <c r="D21"/>
    </row>
    <row r="22" spans="4:4" x14ac:dyDescent="0.3">
      <c r="D22"/>
    </row>
    <row r="23" spans="4:4" x14ac:dyDescent="0.3">
      <c r="D23"/>
    </row>
    <row r="24" spans="4:4" x14ac:dyDescent="0.3">
      <c r="D24"/>
    </row>
    <row r="25" spans="4:4" x14ac:dyDescent="0.3">
      <c r="D25"/>
    </row>
    <row r="26" spans="4:4" x14ac:dyDescent="0.3">
      <c r="D26"/>
    </row>
    <row r="27" spans="4:4" x14ac:dyDescent="0.3">
      <c r="D27"/>
    </row>
    <row r="28" spans="4:4" x14ac:dyDescent="0.3">
      <c r="D28"/>
    </row>
    <row r="29" spans="4:4" x14ac:dyDescent="0.3">
      <c r="D29"/>
    </row>
    <row r="30" spans="4:4" x14ac:dyDescent="0.3">
      <c r="D30"/>
    </row>
    <row r="31" spans="4:4" x14ac:dyDescent="0.3">
      <c r="D31"/>
    </row>
    <row r="32" spans="4:4" x14ac:dyDescent="0.3">
      <c r="D32"/>
    </row>
    <row r="33" spans="4:4" x14ac:dyDescent="0.3">
      <c r="D33"/>
    </row>
    <row r="34" spans="4:4" x14ac:dyDescent="0.3">
      <c r="D34"/>
    </row>
    <row r="35" spans="4:4" x14ac:dyDescent="0.3">
      <c r="D35"/>
    </row>
    <row r="36" spans="4:4" x14ac:dyDescent="0.3">
      <c r="D36"/>
    </row>
    <row r="37" spans="4:4" x14ac:dyDescent="0.3">
      <c r="D37"/>
    </row>
    <row r="38" spans="4:4" x14ac:dyDescent="0.3">
      <c r="D38"/>
    </row>
    <row r="39" spans="4:4" x14ac:dyDescent="0.3">
      <c r="D39"/>
    </row>
    <row r="40" spans="4:4" x14ac:dyDescent="0.3">
      <c r="D40"/>
    </row>
    <row r="41" spans="4:4" x14ac:dyDescent="0.3">
      <c r="D41"/>
    </row>
    <row r="42" spans="4:4" x14ac:dyDescent="0.3">
      <c r="D42"/>
    </row>
    <row r="43" spans="4:4" x14ac:dyDescent="0.3">
      <c r="D43"/>
    </row>
    <row r="44" spans="4:4" x14ac:dyDescent="0.3">
      <c r="D44"/>
    </row>
    <row r="45" spans="4:4" x14ac:dyDescent="0.3">
      <c r="D45"/>
    </row>
    <row r="46" spans="4:4" x14ac:dyDescent="0.3">
      <c r="D46"/>
    </row>
    <row r="47" spans="4:4" x14ac:dyDescent="0.3">
      <c r="D47"/>
    </row>
    <row r="48" spans="4:4" x14ac:dyDescent="0.3">
      <c r="D48"/>
    </row>
    <row r="49" spans="4:4" x14ac:dyDescent="0.3">
      <c r="D49"/>
    </row>
    <row r="50" spans="4:4" x14ac:dyDescent="0.3">
      <c r="D50"/>
    </row>
    <row r="51" spans="4:4" x14ac:dyDescent="0.3">
      <c r="D51"/>
    </row>
    <row r="52" spans="4:4" x14ac:dyDescent="0.3">
      <c r="D52"/>
    </row>
    <row r="53" spans="4:4" x14ac:dyDescent="0.3">
      <c r="D53"/>
    </row>
    <row r="54" spans="4:4" x14ac:dyDescent="0.3">
      <c r="D54"/>
    </row>
    <row r="55" spans="4:4" x14ac:dyDescent="0.3">
      <c r="D55"/>
    </row>
    <row r="56" spans="4:4" x14ac:dyDescent="0.3">
      <c r="D56"/>
    </row>
    <row r="57" spans="4:4" x14ac:dyDescent="0.3">
      <c r="D57"/>
    </row>
    <row r="58" spans="4:4" x14ac:dyDescent="0.3">
      <c r="D58"/>
    </row>
    <row r="59" spans="4:4" x14ac:dyDescent="0.3">
      <c r="D59"/>
    </row>
    <row r="60" spans="4:4" x14ac:dyDescent="0.3">
      <c r="D60"/>
    </row>
    <row r="61" spans="4:4" x14ac:dyDescent="0.3">
      <c r="D61"/>
    </row>
    <row r="62" spans="4:4" x14ac:dyDescent="0.3">
      <c r="D62"/>
    </row>
    <row r="63" spans="4:4" x14ac:dyDescent="0.3">
      <c r="D63"/>
    </row>
    <row r="64" spans="4:4" x14ac:dyDescent="0.3">
      <c r="D64"/>
    </row>
    <row r="65" spans="4:4" x14ac:dyDescent="0.3">
      <c r="D65"/>
    </row>
    <row r="66" spans="4:4" x14ac:dyDescent="0.3">
      <c r="D66"/>
    </row>
    <row r="67" spans="4:4" x14ac:dyDescent="0.3">
      <c r="D67"/>
    </row>
    <row r="68" spans="4:4" x14ac:dyDescent="0.3">
      <c r="D68"/>
    </row>
    <row r="69" spans="4:4" x14ac:dyDescent="0.3">
      <c r="D69"/>
    </row>
    <row r="70" spans="4:4" x14ac:dyDescent="0.3">
      <c r="D70"/>
    </row>
    <row r="71" spans="4:4" x14ac:dyDescent="0.3">
      <c r="D71"/>
    </row>
    <row r="72" spans="4:4" x14ac:dyDescent="0.3">
      <c r="D72"/>
    </row>
    <row r="73" spans="4:4" x14ac:dyDescent="0.3">
      <c r="D73"/>
    </row>
    <row r="74" spans="4:4" x14ac:dyDescent="0.3">
      <c r="D74"/>
    </row>
    <row r="75" spans="4:4" x14ac:dyDescent="0.3">
      <c r="D75"/>
    </row>
    <row r="76" spans="4:4" x14ac:dyDescent="0.3">
      <c r="D76"/>
    </row>
    <row r="77" spans="4:4" x14ac:dyDescent="0.3">
      <c r="D77"/>
    </row>
    <row r="78" spans="4:4" x14ac:dyDescent="0.3">
      <c r="D78"/>
    </row>
    <row r="79" spans="4:4" x14ac:dyDescent="0.3">
      <c r="D79"/>
    </row>
    <row r="80" spans="4:4" x14ac:dyDescent="0.3">
      <c r="D80"/>
    </row>
    <row r="81" spans="4:4" x14ac:dyDescent="0.3">
      <c r="D81"/>
    </row>
    <row r="82" spans="4:4" x14ac:dyDescent="0.3">
      <c r="D82"/>
    </row>
    <row r="83" spans="4:4" x14ac:dyDescent="0.3">
      <c r="D83"/>
    </row>
    <row r="84" spans="4:4" x14ac:dyDescent="0.3">
      <c r="D84"/>
    </row>
    <row r="85" spans="4:4" x14ac:dyDescent="0.3">
      <c r="D85"/>
    </row>
    <row r="86" spans="4:4" x14ac:dyDescent="0.3">
      <c r="D86"/>
    </row>
    <row r="87" spans="4:4" x14ac:dyDescent="0.3">
      <c r="D87"/>
    </row>
    <row r="88" spans="4:4" x14ac:dyDescent="0.3">
      <c r="D88"/>
    </row>
    <row r="89" spans="4:4" x14ac:dyDescent="0.3">
      <c r="D89"/>
    </row>
    <row r="90" spans="4:4" x14ac:dyDescent="0.3">
      <c r="D90"/>
    </row>
    <row r="91" spans="4:4" x14ac:dyDescent="0.3">
      <c r="D91"/>
    </row>
    <row r="92" spans="4:4" x14ac:dyDescent="0.3">
      <c r="D92"/>
    </row>
    <row r="93" spans="4:4" x14ac:dyDescent="0.3">
      <c r="D93"/>
    </row>
    <row r="94" spans="4:4" x14ac:dyDescent="0.3">
      <c r="D94"/>
    </row>
    <row r="95" spans="4:4" x14ac:dyDescent="0.3">
      <c r="D95"/>
    </row>
    <row r="96" spans="4:4" x14ac:dyDescent="0.3">
      <c r="D96"/>
    </row>
    <row r="97" spans="4:4" x14ac:dyDescent="0.3">
      <c r="D97"/>
    </row>
    <row r="98" spans="4:4" x14ac:dyDescent="0.3">
      <c r="D98"/>
    </row>
    <row r="99" spans="4:4" x14ac:dyDescent="0.3">
      <c r="D99"/>
    </row>
    <row r="100" spans="4:4" x14ac:dyDescent="0.3">
      <c r="D100"/>
    </row>
    <row r="101" spans="4:4" x14ac:dyDescent="0.3">
      <c r="D101"/>
    </row>
    <row r="102" spans="4:4" x14ac:dyDescent="0.3">
      <c r="D102"/>
    </row>
    <row r="103" spans="4:4" x14ac:dyDescent="0.3">
      <c r="D103"/>
    </row>
    <row r="104" spans="4:4" x14ac:dyDescent="0.3">
      <c r="D104"/>
    </row>
    <row r="105" spans="4:4" x14ac:dyDescent="0.3">
      <c r="D105"/>
    </row>
    <row r="106" spans="4:4" x14ac:dyDescent="0.3">
      <c r="D106"/>
    </row>
    <row r="107" spans="4:4" x14ac:dyDescent="0.3">
      <c r="D107"/>
    </row>
    <row r="108" spans="4:4" x14ac:dyDescent="0.3">
      <c r="D108"/>
    </row>
    <row r="109" spans="4:4" x14ac:dyDescent="0.3">
      <c r="D109"/>
    </row>
    <row r="110" spans="4:4" x14ac:dyDescent="0.3">
      <c r="D110"/>
    </row>
    <row r="111" spans="4:4" x14ac:dyDescent="0.3">
      <c r="D111"/>
    </row>
    <row r="112" spans="4:4" x14ac:dyDescent="0.3">
      <c r="D112"/>
    </row>
    <row r="113" spans="4:4" x14ac:dyDescent="0.3">
      <c r="D113"/>
    </row>
    <row r="114" spans="4:4" x14ac:dyDescent="0.3">
      <c r="D114"/>
    </row>
    <row r="115" spans="4:4" x14ac:dyDescent="0.3">
      <c r="D115"/>
    </row>
    <row r="116" spans="4:4" x14ac:dyDescent="0.3">
      <c r="D116"/>
    </row>
    <row r="117" spans="4:4" x14ac:dyDescent="0.3">
      <c r="D117"/>
    </row>
    <row r="118" spans="4:4" x14ac:dyDescent="0.3">
      <c r="D118"/>
    </row>
    <row r="119" spans="4:4" x14ac:dyDescent="0.3">
      <c r="D119"/>
    </row>
    <row r="120" spans="4:4" x14ac:dyDescent="0.3">
      <c r="D120"/>
    </row>
    <row r="121" spans="4:4" x14ac:dyDescent="0.3">
      <c r="D121"/>
    </row>
    <row r="122" spans="4:4" x14ac:dyDescent="0.3">
      <c r="D122"/>
    </row>
    <row r="123" spans="4:4" x14ac:dyDescent="0.3">
      <c r="D123"/>
    </row>
    <row r="124" spans="4:4" x14ac:dyDescent="0.3">
      <c r="D124"/>
    </row>
    <row r="125" spans="4:4" x14ac:dyDescent="0.3">
      <c r="D125"/>
    </row>
    <row r="126" spans="4:4" x14ac:dyDescent="0.3">
      <c r="D126"/>
    </row>
    <row r="127" spans="4:4" x14ac:dyDescent="0.3">
      <c r="D127"/>
    </row>
    <row r="128" spans="4:4" x14ac:dyDescent="0.3">
      <c r="D128"/>
    </row>
    <row r="129" spans="4:4" x14ac:dyDescent="0.3">
      <c r="D129"/>
    </row>
    <row r="130" spans="4:4" x14ac:dyDescent="0.3">
      <c r="D130"/>
    </row>
    <row r="131" spans="4:4" x14ac:dyDescent="0.3">
      <c r="D131"/>
    </row>
    <row r="132" spans="4:4" x14ac:dyDescent="0.3">
      <c r="D132"/>
    </row>
    <row r="133" spans="4:4" x14ac:dyDescent="0.3">
      <c r="D133"/>
    </row>
    <row r="134" spans="4:4" x14ac:dyDescent="0.3">
      <c r="D134"/>
    </row>
    <row r="135" spans="4:4" x14ac:dyDescent="0.3">
      <c r="D135"/>
    </row>
    <row r="136" spans="4:4" x14ac:dyDescent="0.3">
      <c r="D136"/>
    </row>
    <row r="137" spans="4:4" x14ac:dyDescent="0.3">
      <c r="D137"/>
    </row>
    <row r="138" spans="4:4" x14ac:dyDescent="0.3">
      <c r="D138"/>
    </row>
    <row r="139" spans="4:4" x14ac:dyDescent="0.3">
      <c r="D139"/>
    </row>
    <row r="140" spans="4:4" x14ac:dyDescent="0.3">
      <c r="D140"/>
    </row>
    <row r="141" spans="4:4" x14ac:dyDescent="0.3">
      <c r="D141"/>
    </row>
    <row r="142" spans="4:4" x14ac:dyDescent="0.3">
      <c r="D142"/>
    </row>
    <row r="143" spans="4:4" x14ac:dyDescent="0.3">
      <c r="D143"/>
    </row>
    <row r="144" spans="4:4" x14ac:dyDescent="0.3">
      <c r="D144"/>
    </row>
    <row r="145" spans="4:4" x14ac:dyDescent="0.3">
      <c r="D145"/>
    </row>
    <row r="146" spans="4:4" x14ac:dyDescent="0.3">
      <c r="D146"/>
    </row>
    <row r="147" spans="4:4" x14ac:dyDescent="0.3">
      <c r="D147"/>
    </row>
    <row r="148" spans="4:4" x14ac:dyDescent="0.3">
      <c r="D148"/>
    </row>
    <row r="149" spans="4:4" x14ac:dyDescent="0.3">
      <c r="D149"/>
    </row>
    <row r="150" spans="4:4" x14ac:dyDescent="0.3">
      <c r="D150"/>
    </row>
    <row r="151" spans="4:4" x14ac:dyDescent="0.3">
      <c r="D151"/>
    </row>
    <row r="152" spans="4:4" x14ac:dyDescent="0.3">
      <c r="D152"/>
    </row>
    <row r="153" spans="4:4" x14ac:dyDescent="0.3">
      <c r="D153"/>
    </row>
    <row r="154" spans="4:4" x14ac:dyDescent="0.3">
      <c r="D154"/>
    </row>
    <row r="155" spans="4:4" x14ac:dyDescent="0.3">
      <c r="D155"/>
    </row>
    <row r="156" spans="4:4" x14ac:dyDescent="0.3">
      <c r="D156"/>
    </row>
    <row r="157" spans="4:4" x14ac:dyDescent="0.3">
      <c r="D157"/>
    </row>
    <row r="158" spans="4:4" x14ac:dyDescent="0.3">
      <c r="D158"/>
    </row>
    <row r="159" spans="4:4" x14ac:dyDescent="0.3">
      <c r="D159"/>
    </row>
    <row r="160" spans="4:4" x14ac:dyDescent="0.3">
      <c r="D160"/>
    </row>
    <row r="161" spans="4:4" x14ac:dyDescent="0.3">
      <c r="D161"/>
    </row>
    <row r="162" spans="4:4" x14ac:dyDescent="0.3">
      <c r="D162"/>
    </row>
    <row r="163" spans="4:4" x14ac:dyDescent="0.3">
      <c r="D163"/>
    </row>
    <row r="164" spans="4:4" x14ac:dyDescent="0.3">
      <c r="D164"/>
    </row>
    <row r="165" spans="4:4" x14ac:dyDescent="0.3">
      <c r="D165"/>
    </row>
    <row r="166" spans="4:4" x14ac:dyDescent="0.3">
      <c r="D166"/>
    </row>
    <row r="167" spans="4:4" x14ac:dyDescent="0.3">
      <c r="D167"/>
    </row>
    <row r="168" spans="4:4" x14ac:dyDescent="0.3">
      <c r="D168"/>
    </row>
    <row r="169" spans="4:4" x14ac:dyDescent="0.3">
      <c r="D169"/>
    </row>
    <row r="170" spans="4:4" x14ac:dyDescent="0.3">
      <c r="D170"/>
    </row>
    <row r="171" spans="4:4" x14ac:dyDescent="0.3">
      <c r="D171"/>
    </row>
    <row r="172" spans="4:4" x14ac:dyDescent="0.3">
      <c r="D172"/>
    </row>
    <row r="173" spans="4:4" x14ac:dyDescent="0.3">
      <c r="D173"/>
    </row>
    <row r="174" spans="4:4" x14ac:dyDescent="0.3">
      <c r="D174"/>
    </row>
    <row r="175" spans="4:4" x14ac:dyDescent="0.3">
      <c r="D175"/>
    </row>
    <row r="176" spans="4:4" x14ac:dyDescent="0.3">
      <c r="D176"/>
    </row>
    <row r="177" spans="4:4" x14ac:dyDescent="0.3">
      <c r="D177"/>
    </row>
    <row r="178" spans="4:4" x14ac:dyDescent="0.3">
      <c r="D178"/>
    </row>
    <row r="179" spans="4:4" x14ac:dyDescent="0.3">
      <c r="D179"/>
    </row>
    <row r="180" spans="4:4" x14ac:dyDescent="0.3">
      <c r="D180"/>
    </row>
    <row r="181" spans="4:4" x14ac:dyDescent="0.3">
      <c r="D181"/>
    </row>
    <row r="182" spans="4:4" x14ac:dyDescent="0.3">
      <c r="D182"/>
    </row>
    <row r="183" spans="4:4" x14ac:dyDescent="0.3">
      <c r="D183"/>
    </row>
    <row r="184" spans="4:4" x14ac:dyDescent="0.3">
      <c r="D184"/>
    </row>
    <row r="185" spans="4:4" x14ac:dyDescent="0.3">
      <c r="D185"/>
    </row>
    <row r="186" spans="4:4" x14ac:dyDescent="0.3">
      <c r="D186"/>
    </row>
    <row r="187" spans="4:4" x14ac:dyDescent="0.3">
      <c r="D187"/>
    </row>
    <row r="188" spans="4:4" x14ac:dyDescent="0.3">
      <c r="D188"/>
    </row>
    <row r="189" spans="4:4" x14ac:dyDescent="0.3">
      <c r="D189"/>
    </row>
    <row r="190" spans="4:4" x14ac:dyDescent="0.3">
      <c r="D190"/>
    </row>
    <row r="191" spans="4:4" x14ac:dyDescent="0.3">
      <c r="D191"/>
    </row>
    <row r="192" spans="4:4" x14ac:dyDescent="0.3">
      <c r="D192"/>
    </row>
    <row r="193" spans="4:4" x14ac:dyDescent="0.3">
      <c r="D193"/>
    </row>
    <row r="194" spans="4:4" x14ac:dyDescent="0.3">
      <c r="D194"/>
    </row>
    <row r="195" spans="4:4" x14ac:dyDescent="0.3">
      <c r="D195"/>
    </row>
    <row r="196" spans="4:4" x14ac:dyDescent="0.3">
      <c r="D196"/>
    </row>
    <row r="197" spans="4:4" x14ac:dyDescent="0.3">
      <c r="D197"/>
    </row>
    <row r="198" spans="4:4" x14ac:dyDescent="0.3">
      <c r="D198"/>
    </row>
    <row r="199" spans="4:4" x14ac:dyDescent="0.3">
      <c r="D199"/>
    </row>
    <row r="200" spans="4:4" x14ac:dyDescent="0.3">
      <c r="D200"/>
    </row>
    <row r="201" spans="4:4" x14ac:dyDescent="0.3">
      <c r="D201"/>
    </row>
    <row r="202" spans="4:4" x14ac:dyDescent="0.3">
      <c r="D202"/>
    </row>
    <row r="203" spans="4:4" x14ac:dyDescent="0.3">
      <c r="D203"/>
    </row>
    <row r="204" spans="4:4" x14ac:dyDescent="0.3">
      <c r="D204"/>
    </row>
    <row r="205" spans="4:4" x14ac:dyDescent="0.3">
      <c r="D205"/>
    </row>
    <row r="206" spans="4:4" x14ac:dyDescent="0.3">
      <c r="D206"/>
    </row>
    <row r="207" spans="4:4" x14ac:dyDescent="0.3">
      <c r="D207"/>
    </row>
    <row r="208" spans="4:4" x14ac:dyDescent="0.3">
      <c r="D208"/>
    </row>
    <row r="209" spans="4:4" x14ac:dyDescent="0.3">
      <c r="D209"/>
    </row>
    <row r="210" spans="4:4" x14ac:dyDescent="0.3">
      <c r="D210"/>
    </row>
    <row r="211" spans="4:4" x14ac:dyDescent="0.3">
      <c r="D211"/>
    </row>
    <row r="212" spans="4:4" x14ac:dyDescent="0.3">
      <c r="D212"/>
    </row>
    <row r="213" spans="4:4" x14ac:dyDescent="0.3">
      <c r="D213"/>
    </row>
    <row r="214" spans="4:4" x14ac:dyDescent="0.3">
      <c r="D214"/>
    </row>
    <row r="215" spans="4:4" x14ac:dyDescent="0.3">
      <c r="D215"/>
    </row>
    <row r="216" spans="4:4" x14ac:dyDescent="0.3">
      <c r="D216"/>
    </row>
    <row r="217" spans="4:4" x14ac:dyDescent="0.3">
      <c r="D217"/>
    </row>
    <row r="218" spans="4:4" x14ac:dyDescent="0.3">
      <c r="D218"/>
    </row>
    <row r="219" spans="4:4" x14ac:dyDescent="0.3">
      <c r="D219"/>
    </row>
    <row r="220" spans="4:4" x14ac:dyDescent="0.3">
      <c r="D220"/>
    </row>
    <row r="221" spans="4:4" x14ac:dyDescent="0.3">
      <c r="D221"/>
    </row>
    <row r="222" spans="4:4" x14ac:dyDescent="0.3">
      <c r="D222"/>
    </row>
    <row r="223" spans="4:4" x14ac:dyDescent="0.3">
      <c r="D223"/>
    </row>
    <row r="224" spans="4:4" x14ac:dyDescent="0.3">
      <c r="D224"/>
    </row>
    <row r="225" spans="4:4" x14ac:dyDescent="0.3">
      <c r="D225"/>
    </row>
    <row r="226" spans="4:4" x14ac:dyDescent="0.3">
      <c r="D226"/>
    </row>
    <row r="227" spans="4:4" x14ac:dyDescent="0.3">
      <c r="D227"/>
    </row>
    <row r="228" spans="4:4" x14ac:dyDescent="0.3">
      <c r="D228"/>
    </row>
    <row r="229" spans="4:4" x14ac:dyDescent="0.3">
      <c r="D229"/>
    </row>
    <row r="230" spans="4:4" x14ac:dyDescent="0.3">
      <c r="D230"/>
    </row>
    <row r="231" spans="4:4" x14ac:dyDescent="0.3">
      <c r="D231"/>
    </row>
    <row r="232" spans="4:4" x14ac:dyDescent="0.3">
      <c r="D232"/>
    </row>
    <row r="233" spans="4:4" x14ac:dyDescent="0.3">
      <c r="D233"/>
    </row>
    <row r="234" spans="4:4" x14ac:dyDescent="0.3">
      <c r="D234"/>
    </row>
    <row r="235" spans="4:4" x14ac:dyDescent="0.3">
      <c r="D235"/>
    </row>
    <row r="236" spans="4:4" x14ac:dyDescent="0.3">
      <c r="D236"/>
    </row>
    <row r="237" spans="4:4" x14ac:dyDescent="0.3">
      <c r="D237"/>
    </row>
    <row r="238" spans="4:4" x14ac:dyDescent="0.3">
      <c r="D238"/>
    </row>
    <row r="239" spans="4:4" x14ac:dyDescent="0.3">
      <c r="D239"/>
    </row>
    <row r="240" spans="4:4" x14ac:dyDescent="0.3">
      <c r="D240"/>
    </row>
    <row r="241" spans="4:4" x14ac:dyDescent="0.3">
      <c r="D241"/>
    </row>
    <row r="242" spans="4:4" x14ac:dyDescent="0.3">
      <c r="D242"/>
    </row>
    <row r="243" spans="4:4" x14ac:dyDescent="0.3">
      <c r="D243"/>
    </row>
    <row r="244" spans="4:4" x14ac:dyDescent="0.3">
      <c r="D244"/>
    </row>
    <row r="245" spans="4:4" x14ac:dyDescent="0.3">
      <c r="D245"/>
    </row>
    <row r="246" spans="4:4" x14ac:dyDescent="0.3">
      <c r="D246"/>
    </row>
    <row r="247" spans="4:4" x14ac:dyDescent="0.3">
      <c r="D247"/>
    </row>
    <row r="248" spans="4:4" x14ac:dyDescent="0.3">
      <c r="D248"/>
    </row>
    <row r="249" spans="4:4" x14ac:dyDescent="0.3">
      <c r="D249"/>
    </row>
    <row r="250" spans="4:4" x14ac:dyDescent="0.3">
      <c r="D250"/>
    </row>
    <row r="251" spans="4:4" x14ac:dyDescent="0.3">
      <c r="D251"/>
    </row>
    <row r="252" spans="4:4" x14ac:dyDescent="0.3">
      <c r="D252"/>
    </row>
    <row r="253" spans="4:4" x14ac:dyDescent="0.3">
      <c r="D253"/>
    </row>
    <row r="254" spans="4:4" x14ac:dyDescent="0.3">
      <c r="D254"/>
    </row>
    <row r="255" spans="4:4" x14ac:dyDescent="0.3">
      <c r="D255"/>
    </row>
    <row r="256" spans="4:4" x14ac:dyDescent="0.3">
      <c r="D256"/>
    </row>
    <row r="257" spans="4:4" x14ac:dyDescent="0.3">
      <c r="D257"/>
    </row>
    <row r="258" spans="4:4" x14ac:dyDescent="0.3">
      <c r="D258"/>
    </row>
    <row r="259" spans="4:4" x14ac:dyDescent="0.3">
      <c r="D259"/>
    </row>
    <row r="260" spans="4:4" x14ac:dyDescent="0.3">
      <c r="D260"/>
    </row>
    <row r="261" spans="4:4" x14ac:dyDescent="0.3">
      <c r="D261"/>
    </row>
    <row r="262" spans="4:4" x14ac:dyDescent="0.3">
      <c r="D262"/>
    </row>
    <row r="263" spans="4:4" x14ac:dyDescent="0.3">
      <c r="D263"/>
    </row>
    <row r="264" spans="4:4" x14ac:dyDescent="0.3">
      <c r="D264"/>
    </row>
    <row r="265" spans="4:4" x14ac:dyDescent="0.3">
      <c r="D265"/>
    </row>
    <row r="266" spans="4:4" x14ac:dyDescent="0.3">
      <c r="D266"/>
    </row>
    <row r="267" spans="4:4" x14ac:dyDescent="0.3">
      <c r="D267"/>
    </row>
    <row r="268" spans="4:4" x14ac:dyDescent="0.3">
      <c r="D268"/>
    </row>
    <row r="269" spans="4:4" x14ac:dyDescent="0.3">
      <c r="D269"/>
    </row>
    <row r="270" spans="4:4" x14ac:dyDescent="0.3">
      <c r="D270"/>
    </row>
    <row r="271" spans="4:4" x14ac:dyDescent="0.3">
      <c r="D271"/>
    </row>
    <row r="272" spans="4:4" x14ac:dyDescent="0.3">
      <c r="D272"/>
    </row>
    <row r="273" spans="4:4" x14ac:dyDescent="0.3">
      <c r="D273"/>
    </row>
    <row r="274" spans="4:4" x14ac:dyDescent="0.3">
      <c r="D274"/>
    </row>
    <row r="275" spans="4:4" x14ac:dyDescent="0.3">
      <c r="D275"/>
    </row>
    <row r="276" spans="4:4" x14ac:dyDescent="0.3">
      <c r="D276"/>
    </row>
    <row r="277" spans="4:4" x14ac:dyDescent="0.3">
      <c r="D277"/>
    </row>
    <row r="278" spans="4:4" x14ac:dyDescent="0.3">
      <c r="D278"/>
    </row>
    <row r="279" spans="4:4" x14ac:dyDescent="0.3">
      <c r="D279"/>
    </row>
    <row r="280" spans="4:4" x14ac:dyDescent="0.3">
      <c r="D280"/>
    </row>
    <row r="281" spans="4:4" x14ac:dyDescent="0.3">
      <c r="D281"/>
    </row>
    <row r="282" spans="4:4" x14ac:dyDescent="0.3">
      <c r="D282"/>
    </row>
    <row r="283" spans="4:4" x14ac:dyDescent="0.3">
      <c r="D283"/>
    </row>
    <row r="284" spans="4:4" x14ac:dyDescent="0.3">
      <c r="D284"/>
    </row>
    <row r="285" spans="4:4" x14ac:dyDescent="0.3">
      <c r="D285"/>
    </row>
    <row r="286" spans="4:4" x14ac:dyDescent="0.3">
      <c r="D286"/>
    </row>
    <row r="287" spans="4:4" x14ac:dyDescent="0.3">
      <c r="D287"/>
    </row>
    <row r="288" spans="4:4" x14ac:dyDescent="0.3">
      <c r="D288"/>
    </row>
    <row r="289" spans="4:4" x14ac:dyDescent="0.3">
      <c r="D289"/>
    </row>
    <row r="290" spans="4:4" x14ac:dyDescent="0.3">
      <c r="D290"/>
    </row>
    <row r="291" spans="4:4" x14ac:dyDescent="0.3">
      <c r="D291"/>
    </row>
    <row r="292" spans="4:4" x14ac:dyDescent="0.3">
      <c r="D292"/>
    </row>
    <row r="293" spans="4:4" x14ac:dyDescent="0.3">
      <c r="D293"/>
    </row>
    <row r="294" spans="4:4" x14ac:dyDescent="0.3">
      <c r="D294"/>
    </row>
    <row r="295" spans="4:4" x14ac:dyDescent="0.3">
      <c r="D295"/>
    </row>
    <row r="296" spans="4:4" x14ac:dyDescent="0.3">
      <c r="D296"/>
    </row>
    <row r="297" spans="4:4" x14ac:dyDescent="0.3">
      <c r="D297"/>
    </row>
    <row r="298" spans="4:4" x14ac:dyDescent="0.3">
      <c r="D298"/>
    </row>
    <row r="299" spans="4:4" x14ac:dyDescent="0.3">
      <c r="D299"/>
    </row>
    <row r="300" spans="4:4" x14ac:dyDescent="0.3">
      <c r="D300"/>
    </row>
    <row r="301" spans="4:4" x14ac:dyDescent="0.3">
      <c r="D301"/>
    </row>
    <row r="302" spans="4:4" x14ac:dyDescent="0.3">
      <c r="D302"/>
    </row>
    <row r="303" spans="4:4" x14ac:dyDescent="0.3">
      <c r="D303"/>
    </row>
    <row r="304" spans="4:4" x14ac:dyDescent="0.3">
      <c r="D304"/>
    </row>
    <row r="305" spans="4:4" x14ac:dyDescent="0.3">
      <c r="D305"/>
    </row>
    <row r="306" spans="4:4" x14ac:dyDescent="0.3">
      <c r="D306"/>
    </row>
    <row r="307" spans="4:4" x14ac:dyDescent="0.3">
      <c r="D307"/>
    </row>
    <row r="308" spans="4:4" x14ac:dyDescent="0.3">
      <c r="D308"/>
    </row>
    <row r="309" spans="4:4" x14ac:dyDescent="0.3">
      <c r="D309"/>
    </row>
    <row r="310" spans="4:4" x14ac:dyDescent="0.3">
      <c r="D310"/>
    </row>
    <row r="311" spans="4:4" x14ac:dyDescent="0.3">
      <c r="D311"/>
    </row>
    <row r="312" spans="4:4" x14ac:dyDescent="0.3">
      <c r="D312"/>
    </row>
    <row r="313" spans="4:4" x14ac:dyDescent="0.3">
      <c r="D313"/>
    </row>
    <row r="314" spans="4:4" x14ac:dyDescent="0.3">
      <c r="D314"/>
    </row>
    <row r="315" spans="4:4" x14ac:dyDescent="0.3">
      <c r="D315"/>
    </row>
    <row r="316" spans="4:4" x14ac:dyDescent="0.3">
      <c r="D316"/>
    </row>
    <row r="317" spans="4:4" x14ac:dyDescent="0.3">
      <c r="D317"/>
    </row>
    <row r="318" spans="4:4" x14ac:dyDescent="0.3">
      <c r="D318"/>
    </row>
    <row r="319" spans="4:4" x14ac:dyDescent="0.3">
      <c r="D319"/>
    </row>
    <row r="320" spans="4:4" x14ac:dyDescent="0.3">
      <c r="D320"/>
    </row>
    <row r="321" spans="4:4" x14ac:dyDescent="0.3">
      <c r="D321"/>
    </row>
    <row r="322" spans="4:4" x14ac:dyDescent="0.3">
      <c r="D322"/>
    </row>
    <row r="323" spans="4:4" x14ac:dyDescent="0.3">
      <c r="D323"/>
    </row>
    <row r="324" spans="4:4" x14ac:dyDescent="0.3">
      <c r="D324"/>
    </row>
    <row r="325" spans="4:4" x14ac:dyDescent="0.3">
      <c r="D325"/>
    </row>
    <row r="326" spans="4:4" x14ac:dyDescent="0.3">
      <c r="D326"/>
    </row>
    <row r="327" spans="4:4" x14ac:dyDescent="0.3">
      <c r="D327"/>
    </row>
    <row r="328" spans="4:4" x14ac:dyDescent="0.3">
      <c r="D328"/>
    </row>
    <row r="329" spans="4:4" x14ac:dyDescent="0.3">
      <c r="D329"/>
    </row>
    <row r="330" spans="4:4" x14ac:dyDescent="0.3">
      <c r="D330"/>
    </row>
    <row r="331" spans="4:4" x14ac:dyDescent="0.3">
      <c r="D331"/>
    </row>
    <row r="332" spans="4:4" x14ac:dyDescent="0.3">
      <c r="D332"/>
    </row>
    <row r="333" spans="4:4" x14ac:dyDescent="0.3">
      <c r="D333"/>
    </row>
    <row r="334" spans="4:4" x14ac:dyDescent="0.3">
      <c r="D334"/>
    </row>
    <row r="335" spans="4:4" x14ac:dyDescent="0.3">
      <c r="D335"/>
    </row>
  </sheetData>
  <mergeCells count="3">
    <mergeCell ref="A1:E2"/>
    <mergeCell ref="F1:F2"/>
    <mergeCell ref="I3:K4"/>
  </mergeCells>
  <printOptions verticalCentered="1"/>
  <pageMargins left="0.51181102362204722" right="0.51181102362204722" top="0.78740157480314965" bottom="0.78740157480314965" header="0.31496062992125984" footer="0.31496062992125984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A9967-C149-425C-93FC-9537D8122E4C}">
  <sheetPr>
    <tabColor theme="2" tint="-0.749992370372631"/>
  </sheetPr>
  <dimension ref="A1:N354"/>
  <sheetViews>
    <sheetView zoomScale="90" zoomScaleNormal="90" zoomScalePageLayoutView="52" workbookViewId="0">
      <pane ySplit="4" topLeftCell="A5" activePane="bottomLeft" state="frozen"/>
      <selection pane="bottomLeft" activeCell="A3" sqref="A3:F3"/>
    </sheetView>
  </sheetViews>
  <sheetFormatPr defaultRowHeight="14.4" x14ac:dyDescent="0.3"/>
  <cols>
    <col min="1" max="1" width="68" bestFit="1" customWidth="1"/>
    <col min="2" max="2" width="23.33203125" hidden="1" customWidth="1"/>
    <col min="3" max="3" width="20" hidden="1" customWidth="1"/>
    <col min="4" max="4" width="18.6640625" style="1" customWidth="1"/>
    <col min="5" max="5" width="18.88671875" style="1" customWidth="1"/>
    <col min="6" max="6" width="30.44140625" customWidth="1"/>
    <col min="7" max="7" width="19.44140625" customWidth="1"/>
    <col min="8" max="9" width="13.109375" bestFit="1" customWidth="1"/>
    <col min="10" max="10" width="12.5546875" customWidth="1"/>
    <col min="11" max="11" width="11" bestFit="1" customWidth="1"/>
  </cols>
  <sheetData>
    <row r="1" spans="1:11" ht="118.95" customHeight="1" x14ac:dyDescent="0.3">
      <c r="A1" s="61" t="s">
        <v>17</v>
      </c>
      <c r="B1" s="61"/>
      <c r="C1" s="61"/>
      <c r="D1" s="61"/>
      <c r="E1" s="61"/>
      <c r="F1" s="61"/>
      <c r="G1" s="61"/>
      <c r="H1" s="62" t="s">
        <v>18</v>
      </c>
      <c r="I1" s="62"/>
      <c r="J1" s="62"/>
      <c r="K1" s="62"/>
    </row>
    <row r="2" spans="1:11" ht="15.6" customHeight="1" x14ac:dyDescent="0.3">
      <c r="A2" s="61"/>
      <c r="B2" s="61"/>
      <c r="C2" s="61"/>
      <c r="D2" s="61"/>
      <c r="E2" s="61"/>
      <c r="F2" s="61"/>
      <c r="G2" s="61"/>
      <c r="H2" s="62"/>
      <c r="I2" s="62"/>
      <c r="J2" s="62"/>
      <c r="K2" s="62"/>
    </row>
    <row r="3" spans="1:11" ht="27.6" customHeight="1" x14ac:dyDescent="0.4">
      <c r="A3" s="68">
        <f ca="1">TODAY()</f>
        <v>46067</v>
      </c>
      <c r="B3" s="68"/>
      <c r="C3" s="68"/>
      <c r="D3" s="68"/>
      <c r="E3" s="68"/>
      <c r="F3" s="68"/>
      <c r="G3" s="71"/>
      <c r="H3" s="73"/>
      <c r="I3" s="73"/>
      <c r="J3" s="73"/>
      <c r="K3" s="73"/>
    </row>
    <row r="4" spans="1:11" ht="46.8" x14ac:dyDescent="0.3">
      <c r="A4" s="14" t="s">
        <v>0</v>
      </c>
      <c r="B4" s="15" t="s">
        <v>1</v>
      </c>
      <c r="C4" s="15" t="s">
        <v>2</v>
      </c>
      <c r="D4" s="16" t="s">
        <v>3</v>
      </c>
      <c r="E4" s="15" t="s">
        <v>4</v>
      </c>
      <c r="F4" s="15" t="s">
        <v>16</v>
      </c>
      <c r="G4" s="15" t="s">
        <v>269</v>
      </c>
      <c r="H4" s="15" t="s">
        <v>271</v>
      </c>
      <c r="I4" s="15" t="s">
        <v>270</v>
      </c>
      <c r="J4" s="15" t="s">
        <v>272</v>
      </c>
      <c r="K4" s="15" t="s">
        <v>273</v>
      </c>
    </row>
    <row r="5" spans="1:11" x14ac:dyDescent="0.3">
      <c r="A5" s="4" t="s">
        <v>15</v>
      </c>
      <c r="B5" s="4" t="s">
        <v>6</v>
      </c>
      <c r="C5" s="4" t="s">
        <v>7</v>
      </c>
      <c r="D5" s="5">
        <v>44299</v>
      </c>
      <c r="E5" s="6">
        <v>802</v>
      </c>
      <c r="F5" s="5">
        <v>44168.958333333336</v>
      </c>
      <c r="G5" s="72">
        <f>WEEKNUM(D5,2)</f>
        <v>16</v>
      </c>
      <c r="H5" s="72">
        <f>ROUND(D5-F5,0)</f>
        <v>130</v>
      </c>
      <c r="I5" s="72">
        <f>INT(H5/7)</f>
        <v>18</v>
      </c>
      <c r="J5" s="72">
        <f>DATEDIF(F5,D5,"m")</f>
        <v>4</v>
      </c>
      <c r="K5" s="72">
        <f>DATEDIF(F5,D5,"y")</f>
        <v>0</v>
      </c>
    </row>
    <row r="6" spans="1:11" x14ac:dyDescent="0.3">
      <c r="A6" s="4" t="s">
        <v>15</v>
      </c>
      <c r="B6" s="4" t="s">
        <v>6</v>
      </c>
      <c r="C6" s="4" t="s">
        <v>7</v>
      </c>
      <c r="D6" s="5">
        <v>44278</v>
      </c>
      <c r="E6" s="6">
        <v>880.9</v>
      </c>
      <c r="F6" s="5">
        <v>44168.020833333336</v>
      </c>
      <c r="G6" s="72">
        <f>WEEKNUM(D6,2)</f>
        <v>13</v>
      </c>
      <c r="H6" s="72">
        <f t="shared" ref="H6:H15" si="0">ROUND(D6-F6,0)</f>
        <v>110</v>
      </c>
      <c r="I6" s="72">
        <f t="shared" ref="I6:I15" si="1">INT(H6/7)</f>
        <v>15</v>
      </c>
      <c r="J6" s="72">
        <f t="shared" ref="J6:J15" si="2">DATEDIF(F6,D6,"m")</f>
        <v>3</v>
      </c>
      <c r="K6" s="72">
        <f t="shared" ref="K6:K15" si="3">DATEDIF(F6,D6,"y")</f>
        <v>0</v>
      </c>
    </row>
    <row r="7" spans="1:11" x14ac:dyDescent="0.3">
      <c r="A7" s="4" t="s">
        <v>28</v>
      </c>
      <c r="B7" s="4" t="s">
        <v>6</v>
      </c>
      <c r="C7" s="4" t="s">
        <v>7</v>
      </c>
      <c r="D7" s="5">
        <v>44265</v>
      </c>
      <c r="E7" s="6">
        <v>1027</v>
      </c>
      <c r="F7" s="5">
        <v>44187.354166666664</v>
      </c>
      <c r="G7" s="72">
        <f t="shared" ref="G7:J15" si="4">WEEKNUM(D7,2)</f>
        <v>11</v>
      </c>
      <c r="H7" s="72">
        <f t="shared" si="0"/>
        <v>78</v>
      </c>
      <c r="I7" s="72">
        <f t="shared" si="1"/>
        <v>11</v>
      </c>
      <c r="J7" s="72">
        <f t="shared" si="2"/>
        <v>2</v>
      </c>
      <c r="K7" s="72">
        <f t="shared" si="3"/>
        <v>0</v>
      </c>
    </row>
    <row r="8" spans="1:11" x14ac:dyDescent="0.3">
      <c r="A8" s="4" t="s">
        <v>5</v>
      </c>
      <c r="B8" s="4" t="s">
        <v>6</v>
      </c>
      <c r="C8" s="4" t="s">
        <v>7</v>
      </c>
      <c r="D8" s="5">
        <v>44285</v>
      </c>
      <c r="E8" s="6">
        <v>1027</v>
      </c>
      <c r="F8" s="5">
        <v>44197.4375</v>
      </c>
      <c r="G8" s="72">
        <f t="shared" si="4"/>
        <v>14</v>
      </c>
      <c r="H8" s="72">
        <f t="shared" si="0"/>
        <v>88</v>
      </c>
      <c r="I8" s="72">
        <f t="shared" si="1"/>
        <v>12</v>
      </c>
      <c r="J8" s="72">
        <f t="shared" si="2"/>
        <v>2</v>
      </c>
      <c r="K8" s="72">
        <f t="shared" si="3"/>
        <v>0</v>
      </c>
    </row>
    <row r="9" spans="1:11" x14ac:dyDescent="0.3">
      <c r="A9" s="4" t="s">
        <v>5</v>
      </c>
      <c r="B9" s="4" t="s">
        <v>6</v>
      </c>
      <c r="C9" s="4" t="s">
        <v>7</v>
      </c>
      <c r="D9" s="5">
        <v>44207</v>
      </c>
      <c r="E9" s="6">
        <v>567</v>
      </c>
      <c r="F9" s="5">
        <v>44184.169444444444</v>
      </c>
      <c r="G9" s="72">
        <f t="shared" si="4"/>
        <v>3</v>
      </c>
      <c r="H9" s="72">
        <f t="shared" si="0"/>
        <v>23</v>
      </c>
      <c r="I9" s="72">
        <f t="shared" si="1"/>
        <v>3</v>
      </c>
      <c r="J9" s="72">
        <f t="shared" si="2"/>
        <v>0</v>
      </c>
      <c r="K9" s="72">
        <f t="shared" si="3"/>
        <v>0</v>
      </c>
    </row>
    <row r="10" spans="1:11" x14ac:dyDescent="0.3">
      <c r="A10" s="4" t="s">
        <v>13</v>
      </c>
      <c r="B10" s="4" t="s">
        <v>6</v>
      </c>
      <c r="C10" s="4" t="s">
        <v>14</v>
      </c>
      <c r="D10" s="5">
        <v>44214</v>
      </c>
      <c r="E10" s="6">
        <v>2193.34</v>
      </c>
      <c r="F10" s="5">
        <v>44193.135416666664</v>
      </c>
      <c r="G10" s="72">
        <f t="shared" si="4"/>
        <v>4</v>
      </c>
      <c r="H10" s="72">
        <f t="shared" si="0"/>
        <v>21</v>
      </c>
      <c r="I10" s="72">
        <f t="shared" si="1"/>
        <v>3</v>
      </c>
      <c r="J10" s="72">
        <f t="shared" si="2"/>
        <v>0</v>
      </c>
      <c r="K10" s="72">
        <f t="shared" si="3"/>
        <v>0</v>
      </c>
    </row>
    <row r="11" spans="1:11" x14ac:dyDescent="0.3">
      <c r="A11" s="4" t="s">
        <v>13</v>
      </c>
      <c r="B11" s="4" t="s">
        <v>6</v>
      </c>
      <c r="C11" s="4" t="s">
        <v>14</v>
      </c>
      <c r="D11" s="5">
        <v>44261</v>
      </c>
      <c r="E11" s="6">
        <v>2193.33</v>
      </c>
      <c r="F11" s="5">
        <v>44171.135416666664</v>
      </c>
      <c r="G11" s="72">
        <f t="shared" si="4"/>
        <v>10</v>
      </c>
      <c r="H11" s="72">
        <f t="shared" si="0"/>
        <v>90</v>
      </c>
      <c r="I11" s="72">
        <f t="shared" si="1"/>
        <v>12</v>
      </c>
      <c r="J11" s="72">
        <f t="shared" si="2"/>
        <v>3</v>
      </c>
      <c r="K11" s="72">
        <f t="shared" si="3"/>
        <v>0</v>
      </c>
    </row>
    <row r="12" spans="1:11" x14ac:dyDescent="0.3">
      <c r="A12" s="4" t="s">
        <v>10</v>
      </c>
      <c r="B12" s="4" t="s">
        <v>6</v>
      </c>
      <c r="C12" s="4" t="s">
        <v>7</v>
      </c>
      <c r="D12" s="5">
        <v>44285</v>
      </c>
      <c r="E12" s="6">
        <v>680</v>
      </c>
      <c r="F12" s="5">
        <v>44179.490972222222</v>
      </c>
      <c r="G12" s="72">
        <f t="shared" si="4"/>
        <v>14</v>
      </c>
      <c r="H12" s="72">
        <f t="shared" si="0"/>
        <v>106</v>
      </c>
      <c r="I12" s="72">
        <f t="shared" si="1"/>
        <v>15</v>
      </c>
      <c r="J12" s="72">
        <f t="shared" si="2"/>
        <v>3</v>
      </c>
      <c r="K12" s="72">
        <f t="shared" si="3"/>
        <v>0</v>
      </c>
    </row>
    <row r="13" spans="1:11" x14ac:dyDescent="0.3">
      <c r="A13" s="4" t="s">
        <v>11</v>
      </c>
      <c r="B13" s="4" t="s">
        <v>6</v>
      </c>
      <c r="C13" s="4" t="s">
        <v>7</v>
      </c>
      <c r="D13" s="5">
        <v>44207</v>
      </c>
      <c r="E13" s="6">
        <v>200</v>
      </c>
      <c r="F13" s="5">
        <v>44186.763888888891</v>
      </c>
      <c r="G13" s="72">
        <f t="shared" si="4"/>
        <v>3</v>
      </c>
      <c r="H13" s="72">
        <f t="shared" si="0"/>
        <v>20</v>
      </c>
      <c r="I13" s="72">
        <f t="shared" si="1"/>
        <v>2</v>
      </c>
      <c r="J13" s="72">
        <f t="shared" si="2"/>
        <v>0</v>
      </c>
      <c r="K13" s="72">
        <f t="shared" si="3"/>
        <v>0</v>
      </c>
    </row>
    <row r="14" spans="1:11" x14ac:dyDescent="0.3">
      <c r="A14" s="4" t="s">
        <v>11</v>
      </c>
      <c r="B14" s="4" t="s">
        <v>6</v>
      </c>
      <c r="C14" s="4" t="s">
        <v>7</v>
      </c>
      <c r="D14" s="5">
        <v>44221</v>
      </c>
      <c r="E14" s="6">
        <v>405</v>
      </c>
      <c r="F14" s="5">
        <v>44188.806944444441</v>
      </c>
      <c r="G14" s="72">
        <f t="shared" si="4"/>
        <v>5</v>
      </c>
      <c r="H14" s="72">
        <f t="shared" si="0"/>
        <v>32</v>
      </c>
      <c r="I14" s="72">
        <f t="shared" si="1"/>
        <v>4</v>
      </c>
      <c r="J14" s="72">
        <f t="shared" si="2"/>
        <v>1</v>
      </c>
      <c r="K14" s="72">
        <f t="shared" si="3"/>
        <v>0</v>
      </c>
    </row>
    <row r="15" spans="1:11" x14ac:dyDescent="0.3">
      <c r="A15" s="4" t="s">
        <v>8</v>
      </c>
      <c r="B15" s="4" t="s">
        <v>6</v>
      </c>
      <c r="C15" s="4" t="s">
        <v>7</v>
      </c>
      <c r="D15" s="5">
        <v>44277</v>
      </c>
      <c r="E15" s="6">
        <v>700</v>
      </c>
      <c r="F15" s="5">
        <v>44189.583333333336</v>
      </c>
      <c r="G15" s="72">
        <f t="shared" si="4"/>
        <v>13</v>
      </c>
      <c r="H15" s="72">
        <f t="shared" si="0"/>
        <v>87</v>
      </c>
      <c r="I15" s="72">
        <f t="shared" si="1"/>
        <v>12</v>
      </c>
      <c r="J15" s="72">
        <f t="shared" si="2"/>
        <v>2</v>
      </c>
      <c r="K15" s="72">
        <f t="shared" si="3"/>
        <v>0</v>
      </c>
    </row>
    <row r="16" spans="1:11" x14ac:dyDescent="0.3">
      <c r="D16"/>
      <c r="E16" s="22"/>
    </row>
    <row r="17" spans="1:14" x14ac:dyDescent="0.3">
      <c r="D17"/>
      <c r="E17" s="22"/>
    </row>
    <row r="18" spans="1:14" x14ac:dyDescent="0.3">
      <c r="D18"/>
      <c r="E18" s="22"/>
    </row>
    <row r="19" spans="1:14" x14ac:dyDescent="0.3">
      <c r="D19"/>
      <c r="E19"/>
    </row>
    <row r="20" spans="1:14" x14ac:dyDescent="0.3">
      <c r="D20"/>
    </row>
    <row r="21" spans="1:14" x14ac:dyDescent="0.3">
      <c r="D21"/>
    </row>
    <row r="22" spans="1:14" x14ac:dyDescent="0.3">
      <c r="D22"/>
    </row>
    <row r="23" spans="1:14" x14ac:dyDescent="0.3">
      <c r="D23"/>
    </row>
    <row r="24" spans="1:14" x14ac:dyDescent="0.3">
      <c r="D24"/>
    </row>
    <row r="25" spans="1:14" x14ac:dyDescent="0.3">
      <c r="D25"/>
    </row>
    <row r="26" spans="1:14" x14ac:dyDescent="0.3">
      <c r="D26"/>
    </row>
    <row r="27" spans="1:14" x14ac:dyDescent="0.3">
      <c r="D27"/>
    </row>
    <row r="28" spans="1:14" x14ac:dyDescent="0.3">
      <c r="D28"/>
    </row>
    <row r="29" spans="1:14" x14ac:dyDescent="0.3">
      <c r="D29"/>
    </row>
    <row r="30" spans="1:14" x14ac:dyDescent="0.3">
      <c r="D30"/>
    </row>
    <row r="31" spans="1:14" s="1" customFormat="1" x14ac:dyDescent="0.3">
      <c r="A31"/>
      <c r="B31"/>
      <c r="C31"/>
      <c r="D31"/>
      <c r="F31"/>
      <c r="G31"/>
      <c r="H31"/>
      <c r="I31"/>
      <c r="J31"/>
      <c r="K31"/>
      <c r="L31"/>
      <c r="M31"/>
      <c r="N31"/>
    </row>
    <row r="32" spans="1:14" s="1" customFormat="1" x14ac:dyDescent="0.3">
      <c r="A32"/>
      <c r="B32"/>
      <c r="C32"/>
      <c r="D32"/>
      <c r="F32"/>
      <c r="G32"/>
      <c r="H32"/>
      <c r="I32"/>
      <c r="J32"/>
      <c r="K32"/>
      <c r="L32"/>
      <c r="M32"/>
      <c r="N32"/>
    </row>
    <row r="33" spans="1:14" s="1" customFormat="1" x14ac:dyDescent="0.3">
      <c r="A33"/>
      <c r="B33"/>
      <c r="C33"/>
      <c r="D33"/>
      <c r="F33"/>
      <c r="G33"/>
      <c r="H33"/>
      <c r="I33"/>
      <c r="J33"/>
      <c r="K33"/>
      <c r="L33"/>
      <c r="M33"/>
      <c r="N33"/>
    </row>
    <row r="34" spans="1:14" s="1" customFormat="1" x14ac:dyDescent="0.3">
      <c r="A34"/>
      <c r="B34"/>
      <c r="C34"/>
      <c r="D34"/>
      <c r="F34"/>
      <c r="G34"/>
      <c r="H34"/>
      <c r="I34"/>
      <c r="J34"/>
      <c r="K34"/>
      <c r="L34"/>
      <c r="M34"/>
      <c r="N34"/>
    </row>
    <row r="35" spans="1:14" s="1" customFormat="1" x14ac:dyDescent="0.3">
      <c r="A35"/>
      <c r="B35"/>
      <c r="C35"/>
      <c r="D35"/>
      <c r="F35"/>
      <c r="G35"/>
      <c r="H35"/>
      <c r="I35"/>
      <c r="J35"/>
      <c r="K35"/>
      <c r="L35"/>
      <c r="M35"/>
      <c r="N35"/>
    </row>
    <row r="36" spans="1:14" s="1" customFormat="1" x14ac:dyDescent="0.3">
      <c r="A36"/>
      <c r="B36"/>
      <c r="C36"/>
      <c r="D36"/>
      <c r="F36"/>
      <c r="G36"/>
      <c r="H36"/>
      <c r="I36"/>
      <c r="J36"/>
      <c r="K36"/>
      <c r="L36"/>
      <c r="M36"/>
      <c r="N36"/>
    </row>
    <row r="37" spans="1:14" s="1" customFormat="1" x14ac:dyDescent="0.3">
      <c r="A37"/>
      <c r="B37"/>
      <c r="C37"/>
      <c r="D37"/>
      <c r="F37"/>
      <c r="G37"/>
      <c r="H37"/>
      <c r="I37"/>
      <c r="J37"/>
      <c r="K37"/>
      <c r="L37"/>
      <c r="M37"/>
      <c r="N37"/>
    </row>
    <row r="38" spans="1:14" s="1" customFormat="1" x14ac:dyDescent="0.3">
      <c r="A38"/>
      <c r="B38"/>
      <c r="C38"/>
      <c r="D38"/>
      <c r="F38"/>
      <c r="G38"/>
      <c r="H38"/>
      <c r="I38"/>
      <c r="J38"/>
      <c r="K38"/>
      <c r="L38"/>
      <c r="M38"/>
      <c r="N38"/>
    </row>
    <row r="39" spans="1:14" s="1" customFormat="1" x14ac:dyDescent="0.3">
      <c r="A39"/>
      <c r="B39"/>
      <c r="C39"/>
      <c r="D39"/>
      <c r="F39"/>
      <c r="G39"/>
      <c r="H39"/>
      <c r="I39"/>
      <c r="J39"/>
      <c r="K39"/>
      <c r="L39"/>
      <c r="M39"/>
      <c r="N39"/>
    </row>
    <row r="40" spans="1:14" s="1" customFormat="1" x14ac:dyDescent="0.3">
      <c r="A40"/>
      <c r="B40"/>
      <c r="C40"/>
      <c r="D40"/>
      <c r="F40"/>
      <c r="G40"/>
      <c r="H40"/>
      <c r="I40"/>
      <c r="J40"/>
      <c r="K40"/>
      <c r="L40"/>
      <c r="M40"/>
      <c r="N40"/>
    </row>
    <row r="41" spans="1:14" s="1" customFormat="1" x14ac:dyDescent="0.3">
      <c r="A41"/>
      <c r="B41"/>
      <c r="C41"/>
      <c r="D41"/>
      <c r="F41"/>
      <c r="G41"/>
      <c r="H41"/>
      <c r="I41"/>
      <c r="J41"/>
      <c r="K41"/>
      <c r="L41"/>
      <c r="M41"/>
      <c r="N41"/>
    </row>
    <row r="42" spans="1:14" s="1" customFormat="1" x14ac:dyDescent="0.3">
      <c r="A42"/>
      <c r="B42"/>
      <c r="C42"/>
      <c r="D42"/>
      <c r="F42"/>
      <c r="G42"/>
      <c r="H42"/>
      <c r="I42"/>
      <c r="J42"/>
      <c r="K42"/>
      <c r="L42"/>
      <c r="M42"/>
      <c r="N42"/>
    </row>
    <row r="43" spans="1:14" s="1" customFormat="1" x14ac:dyDescent="0.3">
      <c r="A43"/>
      <c r="B43"/>
      <c r="C43"/>
      <c r="D43"/>
      <c r="F43"/>
      <c r="G43"/>
      <c r="H43"/>
      <c r="I43"/>
      <c r="J43"/>
      <c r="K43"/>
      <c r="L43"/>
      <c r="M43"/>
      <c r="N43"/>
    </row>
    <row r="44" spans="1:14" s="1" customFormat="1" x14ac:dyDescent="0.3">
      <c r="A44"/>
      <c r="B44"/>
      <c r="C44"/>
      <c r="D44"/>
      <c r="F44"/>
      <c r="G44"/>
      <c r="H44"/>
      <c r="I44"/>
      <c r="J44"/>
      <c r="K44"/>
      <c r="L44"/>
      <c r="M44"/>
      <c r="N44"/>
    </row>
    <row r="45" spans="1:14" s="1" customFormat="1" x14ac:dyDescent="0.3">
      <c r="A45"/>
      <c r="B45"/>
      <c r="C45"/>
      <c r="D45"/>
      <c r="F45"/>
      <c r="G45"/>
      <c r="H45"/>
      <c r="I45"/>
      <c r="J45"/>
      <c r="K45"/>
      <c r="L45"/>
      <c r="M45"/>
      <c r="N45"/>
    </row>
    <row r="46" spans="1:14" s="1" customFormat="1" x14ac:dyDescent="0.3">
      <c r="A46"/>
      <c r="B46"/>
      <c r="C46"/>
      <c r="D46"/>
      <c r="F46"/>
      <c r="G46"/>
      <c r="H46"/>
      <c r="I46"/>
      <c r="J46"/>
      <c r="K46"/>
      <c r="L46"/>
      <c r="M46"/>
      <c r="N46"/>
    </row>
    <row r="47" spans="1:14" s="1" customFormat="1" x14ac:dyDescent="0.3">
      <c r="A47"/>
      <c r="B47"/>
      <c r="C47"/>
      <c r="D47"/>
      <c r="F47"/>
      <c r="G47"/>
      <c r="H47"/>
      <c r="I47"/>
      <c r="J47"/>
      <c r="K47"/>
      <c r="L47"/>
      <c r="M47"/>
      <c r="N47"/>
    </row>
    <row r="48" spans="1:14" s="1" customFormat="1" x14ac:dyDescent="0.3">
      <c r="A48"/>
      <c r="B48"/>
      <c r="C48"/>
      <c r="D48"/>
      <c r="F48"/>
      <c r="G48"/>
      <c r="H48"/>
      <c r="I48"/>
      <c r="J48"/>
      <c r="K48"/>
      <c r="L48"/>
      <c r="M48"/>
      <c r="N48"/>
    </row>
    <row r="49" spans="1:14" s="1" customFormat="1" x14ac:dyDescent="0.3">
      <c r="A49"/>
      <c r="B49"/>
      <c r="C49"/>
      <c r="D49"/>
      <c r="F49"/>
      <c r="G49"/>
      <c r="H49"/>
      <c r="I49"/>
      <c r="J49"/>
      <c r="K49"/>
      <c r="L49"/>
      <c r="M49"/>
      <c r="N49"/>
    </row>
    <row r="50" spans="1:14" s="1" customFormat="1" x14ac:dyDescent="0.3">
      <c r="A50"/>
      <c r="B50"/>
      <c r="C50"/>
      <c r="D50"/>
      <c r="F50"/>
      <c r="G50"/>
      <c r="H50"/>
      <c r="I50"/>
      <c r="J50"/>
      <c r="K50"/>
      <c r="L50"/>
      <c r="M50"/>
      <c r="N50"/>
    </row>
    <row r="51" spans="1:14" s="1" customFormat="1" x14ac:dyDescent="0.3">
      <c r="A51"/>
      <c r="B51"/>
      <c r="C51"/>
      <c r="D51"/>
      <c r="F51"/>
      <c r="G51"/>
      <c r="H51"/>
      <c r="I51"/>
      <c r="J51"/>
      <c r="K51"/>
      <c r="L51"/>
      <c r="M51"/>
      <c r="N51"/>
    </row>
    <row r="52" spans="1:14" s="1" customFormat="1" x14ac:dyDescent="0.3">
      <c r="A52"/>
      <c r="B52"/>
      <c r="C52"/>
      <c r="D52"/>
      <c r="F52"/>
      <c r="G52"/>
      <c r="H52"/>
      <c r="I52"/>
      <c r="J52"/>
      <c r="K52"/>
      <c r="L52"/>
      <c r="M52"/>
      <c r="N52"/>
    </row>
    <row r="53" spans="1:14" s="1" customFormat="1" x14ac:dyDescent="0.3">
      <c r="A53"/>
      <c r="B53"/>
      <c r="C53"/>
      <c r="D53"/>
      <c r="F53"/>
      <c r="G53"/>
      <c r="H53"/>
      <c r="I53"/>
      <c r="J53"/>
      <c r="K53"/>
      <c r="L53"/>
      <c r="M53"/>
      <c r="N53"/>
    </row>
    <row r="54" spans="1:14" s="1" customFormat="1" x14ac:dyDescent="0.3">
      <c r="A54"/>
      <c r="B54"/>
      <c r="C54"/>
      <c r="D54"/>
      <c r="F54"/>
      <c r="G54"/>
      <c r="H54"/>
      <c r="I54"/>
      <c r="J54"/>
      <c r="K54"/>
      <c r="L54"/>
      <c r="M54"/>
      <c r="N54"/>
    </row>
    <row r="55" spans="1:14" s="1" customFormat="1" x14ac:dyDescent="0.3">
      <c r="A55"/>
      <c r="B55"/>
      <c r="C55"/>
      <c r="D55"/>
      <c r="F55"/>
      <c r="G55"/>
      <c r="H55"/>
      <c r="I55"/>
      <c r="J55"/>
      <c r="K55"/>
      <c r="L55"/>
      <c r="M55"/>
      <c r="N55"/>
    </row>
    <row r="56" spans="1:14" s="1" customFormat="1" x14ac:dyDescent="0.3">
      <c r="A56"/>
      <c r="B56"/>
      <c r="C56"/>
      <c r="D56"/>
      <c r="F56"/>
      <c r="G56"/>
      <c r="H56"/>
      <c r="I56"/>
      <c r="J56"/>
      <c r="K56"/>
      <c r="L56"/>
      <c r="M56"/>
      <c r="N56"/>
    </row>
    <row r="57" spans="1:14" s="1" customFormat="1" x14ac:dyDescent="0.3">
      <c r="A57"/>
      <c r="B57"/>
      <c r="C57"/>
      <c r="D57"/>
      <c r="F57"/>
      <c r="G57"/>
      <c r="H57"/>
      <c r="I57"/>
      <c r="J57"/>
      <c r="K57"/>
      <c r="L57"/>
      <c r="M57"/>
      <c r="N57"/>
    </row>
    <row r="58" spans="1:14" s="1" customFormat="1" x14ac:dyDescent="0.3">
      <c r="A58"/>
      <c r="B58"/>
      <c r="C58"/>
      <c r="D58"/>
      <c r="F58"/>
      <c r="G58"/>
      <c r="H58"/>
      <c r="I58"/>
      <c r="J58"/>
      <c r="K58"/>
      <c r="L58"/>
      <c r="M58"/>
      <c r="N58"/>
    </row>
    <row r="59" spans="1:14" s="1" customFormat="1" x14ac:dyDescent="0.3">
      <c r="A59"/>
      <c r="B59"/>
      <c r="C59"/>
      <c r="D59"/>
      <c r="F59"/>
      <c r="G59"/>
      <c r="H59"/>
      <c r="I59"/>
      <c r="J59"/>
      <c r="K59"/>
      <c r="L59"/>
      <c r="M59"/>
      <c r="N59"/>
    </row>
    <row r="60" spans="1:14" s="1" customFormat="1" x14ac:dyDescent="0.3">
      <c r="A60"/>
      <c r="B60"/>
      <c r="C60"/>
      <c r="D60"/>
      <c r="F60"/>
      <c r="G60"/>
      <c r="H60"/>
      <c r="I60"/>
      <c r="J60"/>
      <c r="K60"/>
      <c r="L60"/>
      <c r="M60"/>
      <c r="N60"/>
    </row>
    <row r="61" spans="1:14" s="1" customFormat="1" x14ac:dyDescent="0.3">
      <c r="A61"/>
      <c r="B61"/>
      <c r="C61"/>
      <c r="D61"/>
      <c r="F61"/>
      <c r="G61"/>
      <c r="H61"/>
      <c r="I61"/>
      <c r="J61"/>
      <c r="K61"/>
      <c r="L61"/>
      <c r="M61"/>
      <c r="N61"/>
    </row>
    <row r="62" spans="1:14" s="1" customFormat="1" x14ac:dyDescent="0.3">
      <c r="A62"/>
      <c r="B62"/>
      <c r="C62"/>
      <c r="D62"/>
      <c r="F62"/>
      <c r="G62"/>
      <c r="H62"/>
      <c r="I62"/>
      <c r="J62"/>
      <c r="K62"/>
      <c r="L62"/>
      <c r="M62"/>
      <c r="N62"/>
    </row>
    <row r="63" spans="1:14" s="1" customFormat="1" x14ac:dyDescent="0.3">
      <c r="A63"/>
      <c r="B63"/>
      <c r="C63"/>
      <c r="D63"/>
      <c r="F63"/>
      <c r="G63"/>
      <c r="H63"/>
      <c r="I63"/>
      <c r="J63"/>
      <c r="K63"/>
      <c r="L63"/>
      <c r="M63"/>
      <c r="N63"/>
    </row>
    <row r="64" spans="1:14" s="1" customFormat="1" x14ac:dyDescent="0.3">
      <c r="A64"/>
      <c r="B64"/>
      <c r="C64"/>
      <c r="D64"/>
      <c r="F64"/>
      <c r="G64"/>
      <c r="H64"/>
      <c r="I64"/>
      <c r="J64"/>
      <c r="K64"/>
      <c r="L64"/>
      <c r="M64"/>
      <c r="N64"/>
    </row>
    <row r="65" spans="1:14" s="1" customFormat="1" x14ac:dyDescent="0.3">
      <c r="A65"/>
      <c r="B65"/>
      <c r="C65"/>
      <c r="D65"/>
      <c r="F65"/>
      <c r="G65"/>
      <c r="H65"/>
      <c r="I65"/>
      <c r="J65"/>
      <c r="K65"/>
      <c r="L65"/>
      <c r="M65"/>
      <c r="N65"/>
    </row>
    <row r="66" spans="1:14" s="1" customFormat="1" x14ac:dyDescent="0.3">
      <c r="A66"/>
      <c r="B66"/>
      <c r="C66"/>
      <c r="D66"/>
      <c r="F66"/>
      <c r="G66"/>
      <c r="H66"/>
      <c r="I66"/>
      <c r="J66"/>
      <c r="K66"/>
      <c r="L66"/>
      <c r="M66"/>
      <c r="N66"/>
    </row>
    <row r="67" spans="1:14" s="1" customFormat="1" x14ac:dyDescent="0.3">
      <c r="A67"/>
      <c r="B67"/>
      <c r="C67"/>
      <c r="D67"/>
      <c r="F67"/>
      <c r="G67"/>
      <c r="H67"/>
      <c r="I67"/>
      <c r="J67"/>
      <c r="K67"/>
      <c r="L67"/>
      <c r="M67"/>
      <c r="N67"/>
    </row>
    <row r="68" spans="1:14" s="1" customFormat="1" x14ac:dyDescent="0.3">
      <c r="A68"/>
      <c r="B68"/>
      <c r="C68"/>
      <c r="D68"/>
      <c r="F68"/>
      <c r="G68"/>
      <c r="H68"/>
      <c r="I68"/>
      <c r="J68"/>
      <c r="K68"/>
      <c r="L68"/>
      <c r="M68"/>
      <c r="N68"/>
    </row>
    <row r="69" spans="1:14" s="1" customFormat="1" x14ac:dyDescent="0.3">
      <c r="A69"/>
      <c r="B69"/>
      <c r="C69"/>
      <c r="D69"/>
      <c r="F69"/>
      <c r="G69"/>
      <c r="H69"/>
      <c r="I69"/>
      <c r="J69"/>
      <c r="K69"/>
      <c r="L69"/>
      <c r="M69"/>
      <c r="N69"/>
    </row>
    <row r="70" spans="1:14" s="1" customFormat="1" x14ac:dyDescent="0.3">
      <c r="A70"/>
      <c r="B70"/>
      <c r="C70"/>
      <c r="D70"/>
      <c r="F70"/>
      <c r="G70"/>
      <c r="H70"/>
      <c r="I70"/>
      <c r="J70"/>
      <c r="K70"/>
      <c r="L70"/>
      <c r="M70"/>
      <c r="N70"/>
    </row>
    <row r="71" spans="1:14" s="1" customFormat="1" x14ac:dyDescent="0.3">
      <c r="A71"/>
      <c r="B71"/>
      <c r="C71"/>
      <c r="D71"/>
      <c r="F71"/>
      <c r="G71"/>
      <c r="H71"/>
      <c r="I71"/>
      <c r="J71"/>
      <c r="K71"/>
      <c r="L71"/>
      <c r="M71"/>
      <c r="N71"/>
    </row>
    <row r="72" spans="1:14" s="1" customFormat="1" x14ac:dyDescent="0.3">
      <c r="A72"/>
      <c r="B72"/>
      <c r="C72"/>
      <c r="D72"/>
      <c r="F72"/>
      <c r="G72"/>
      <c r="H72"/>
      <c r="I72"/>
      <c r="J72"/>
      <c r="K72"/>
      <c r="L72"/>
      <c r="M72"/>
      <c r="N72"/>
    </row>
    <row r="73" spans="1:14" s="1" customFormat="1" x14ac:dyDescent="0.3">
      <c r="A73"/>
      <c r="B73"/>
      <c r="C73"/>
      <c r="D73"/>
      <c r="F73"/>
      <c r="G73"/>
      <c r="H73"/>
      <c r="I73"/>
      <c r="J73"/>
      <c r="K73"/>
      <c r="L73"/>
      <c r="M73"/>
      <c r="N73"/>
    </row>
    <row r="74" spans="1:14" s="1" customFormat="1" x14ac:dyDescent="0.3">
      <c r="A74"/>
      <c r="B74"/>
      <c r="C74"/>
      <c r="D74"/>
      <c r="F74"/>
      <c r="G74"/>
      <c r="H74"/>
      <c r="I74"/>
      <c r="J74"/>
      <c r="K74"/>
      <c r="L74"/>
      <c r="M74"/>
      <c r="N74"/>
    </row>
    <row r="75" spans="1:14" s="1" customFormat="1" x14ac:dyDescent="0.3">
      <c r="A75"/>
      <c r="B75"/>
      <c r="C75"/>
      <c r="D75"/>
      <c r="F75"/>
      <c r="G75"/>
      <c r="H75"/>
      <c r="I75"/>
      <c r="J75"/>
      <c r="K75"/>
      <c r="L75"/>
      <c r="M75"/>
      <c r="N75"/>
    </row>
    <row r="76" spans="1:14" s="1" customFormat="1" x14ac:dyDescent="0.3">
      <c r="A76"/>
      <c r="B76"/>
      <c r="C76"/>
      <c r="D76"/>
      <c r="F76"/>
      <c r="G76"/>
      <c r="H76"/>
      <c r="I76"/>
      <c r="J76"/>
      <c r="K76"/>
      <c r="L76"/>
      <c r="M76"/>
      <c r="N76"/>
    </row>
    <row r="77" spans="1:14" s="1" customFormat="1" x14ac:dyDescent="0.3">
      <c r="A77"/>
      <c r="B77"/>
      <c r="C77"/>
      <c r="D77"/>
      <c r="F77"/>
      <c r="G77"/>
      <c r="H77"/>
      <c r="I77"/>
      <c r="J77"/>
      <c r="K77"/>
      <c r="L77"/>
      <c r="M77"/>
      <c r="N77"/>
    </row>
    <row r="78" spans="1:14" s="1" customFormat="1" x14ac:dyDescent="0.3">
      <c r="A78"/>
      <c r="B78"/>
      <c r="C78"/>
      <c r="D78"/>
      <c r="F78"/>
      <c r="G78"/>
      <c r="H78"/>
      <c r="I78"/>
      <c r="J78"/>
      <c r="K78"/>
      <c r="L78"/>
      <c r="M78"/>
      <c r="N78"/>
    </row>
    <row r="79" spans="1:14" s="1" customFormat="1" x14ac:dyDescent="0.3">
      <c r="A79"/>
      <c r="B79"/>
      <c r="C79"/>
      <c r="D79"/>
      <c r="F79"/>
      <c r="G79"/>
      <c r="H79"/>
      <c r="I79"/>
      <c r="J79"/>
      <c r="K79"/>
      <c r="L79"/>
      <c r="M79"/>
      <c r="N79"/>
    </row>
    <row r="80" spans="1:14" s="1" customFormat="1" x14ac:dyDescent="0.3">
      <c r="A80"/>
      <c r="B80"/>
      <c r="C80"/>
      <c r="D80"/>
      <c r="F80"/>
      <c r="G80"/>
      <c r="H80"/>
      <c r="I80"/>
      <c r="J80"/>
      <c r="K80"/>
      <c r="L80"/>
      <c r="M80"/>
      <c r="N80"/>
    </row>
    <row r="81" spans="1:14" s="1" customFormat="1" x14ac:dyDescent="0.3">
      <c r="A81"/>
      <c r="B81"/>
      <c r="C81"/>
      <c r="D81"/>
      <c r="F81"/>
      <c r="G81"/>
      <c r="H81"/>
      <c r="I81"/>
      <c r="J81"/>
      <c r="K81"/>
      <c r="L81"/>
      <c r="M81"/>
      <c r="N81"/>
    </row>
    <row r="82" spans="1:14" s="1" customFormat="1" x14ac:dyDescent="0.3">
      <c r="A82"/>
      <c r="B82"/>
      <c r="C82"/>
      <c r="D82"/>
      <c r="F82"/>
      <c r="G82"/>
      <c r="H82"/>
      <c r="I82"/>
      <c r="J82"/>
      <c r="K82"/>
      <c r="L82"/>
      <c r="M82"/>
      <c r="N82"/>
    </row>
    <row r="83" spans="1:14" s="1" customFormat="1" x14ac:dyDescent="0.3">
      <c r="A83"/>
      <c r="B83"/>
      <c r="C83"/>
      <c r="D83"/>
      <c r="F83"/>
      <c r="G83"/>
      <c r="H83"/>
      <c r="I83"/>
      <c r="J83"/>
      <c r="K83"/>
      <c r="L83"/>
      <c r="M83"/>
      <c r="N83"/>
    </row>
    <row r="84" spans="1:14" s="1" customFormat="1" x14ac:dyDescent="0.3">
      <c r="A84"/>
      <c r="B84"/>
      <c r="C84"/>
      <c r="D84"/>
      <c r="F84"/>
      <c r="G84"/>
      <c r="H84"/>
      <c r="I84"/>
      <c r="J84"/>
      <c r="K84"/>
      <c r="L84"/>
      <c r="M84"/>
      <c r="N84"/>
    </row>
    <row r="85" spans="1:14" s="1" customFormat="1" x14ac:dyDescent="0.3">
      <c r="A85"/>
      <c r="B85"/>
      <c r="C85"/>
      <c r="D85"/>
      <c r="F85"/>
      <c r="G85"/>
      <c r="H85"/>
      <c r="I85"/>
      <c r="J85"/>
      <c r="K85"/>
      <c r="L85"/>
      <c r="M85"/>
      <c r="N85"/>
    </row>
    <row r="86" spans="1:14" s="1" customFormat="1" x14ac:dyDescent="0.3">
      <c r="A86"/>
      <c r="B86"/>
      <c r="C86"/>
      <c r="D86"/>
      <c r="F86"/>
      <c r="G86"/>
      <c r="H86"/>
      <c r="I86"/>
      <c r="J86"/>
      <c r="K86"/>
      <c r="L86"/>
      <c r="M86"/>
      <c r="N86"/>
    </row>
    <row r="87" spans="1:14" s="1" customFormat="1" x14ac:dyDescent="0.3">
      <c r="A87"/>
      <c r="B87"/>
      <c r="C87"/>
      <c r="D87"/>
      <c r="F87"/>
      <c r="G87"/>
      <c r="H87"/>
      <c r="I87"/>
      <c r="J87"/>
      <c r="K87"/>
      <c r="L87"/>
      <c r="M87"/>
      <c r="N87"/>
    </row>
    <row r="88" spans="1:14" s="1" customFormat="1" x14ac:dyDescent="0.3">
      <c r="A88"/>
      <c r="B88"/>
      <c r="C88"/>
      <c r="D88"/>
      <c r="F88"/>
      <c r="G88"/>
      <c r="H88"/>
      <c r="I88"/>
      <c r="J88"/>
      <c r="K88"/>
      <c r="L88"/>
      <c r="M88"/>
      <c r="N88"/>
    </row>
    <row r="89" spans="1:14" s="1" customFormat="1" x14ac:dyDescent="0.3">
      <c r="A89"/>
      <c r="B89"/>
      <c r="C89"/>
      <c r="D89"/>
      <c r="F89"/>
      <c r="G89"/>
      <c r="H89"/>
      <c r="I89"/>
      <c r="J89"/>
      <c r="K89"/>
      <c r="L89"/>
      <c r="M89"/>
      <c r="N89"/>
    </row>
    <row r="90" spans="1:14" s="1" customFormat="1" x14ac:dyDescent="0.3">
      <c r="A90"/>
      <c r="B90"/>
      <c r="C90"/>
      <c r="D90"/>
      <c r="F90"/>
      <c r="G90"/>
      <c r="H90"/>
      <c r="I90"/>
      <c r="J90"/>
      <c r="K90"/>
      <c r="L90"/>
      <c r="M90"/>
      <c r="N90"/>
    </row>
    <row r="91" spans="1:14" s="1" customFormat="1" x14ac:dyDescent="0.3">
      <c r="A91"/>
      <c r="B91"/>
      <c r="C91"/>
      <c r="D91"/>
      <c r="F91"/>
      <c r="G91"/>
      <c r="H91"/>
      <c r="I91"/>
      <c r="J91"/>
      <c r="K91"/>
      <c r="L91"/>
      <c r="M91"/>
      <c r="N91"/>
    </row>
    <row r="92" spans="1:14" s="1" customFormat="1" x14ac:dyDescent="0.3">
      <c r="A92"/>
      <c r="B92"/>
      <c r="C92"/>
      <c r="D92"/>
      <c r="F92"/>
      <c r="G92"/>
      <c r="H92"/>
      <c r="I92"/>
      <c r="J92"/>
      <c r="K92"/>
      <c r="L92"/>
      <c r="M92"/>
      <c r="N92"/>
    </row>
    <row r="93" spans="1:14" s="1" customFormat="1" x14ac:dyDescent="0.3">
      <c r="A93"/>
      <c r="B93"/>
      <c r="C93"/>
      <c r="D93"/>
      <c r="F93"/>
      <c r="G93"/>
      <c r="H93"/>
      <c r="I93"/>
      <c r="J93"/>
      <c r="K93"/>
      <c r="L93"/>
      <c r="M93"/>
      <c r="N93"/>
    </row>
    <row r="94" spans="1:14" s="1" customFormat="1" x14ac:dyDescent="0.3">
      <c r="A94"/>
      <c r="B94"/>
      <c r="C94"/>
      <c r="D94"/>
      <c r="F94"/>
      <c r="G94"/>
      <c r="H94"/>
      <c r="I94"/>
      <c r="J94"/>
      <c r="K94"/>
      <c r="L94"/>
      <c r="M94"/>
      <c r="N94"/>
    </row>
    <row r="95" spans="1:14" s="1" customFormat="1" x14ac:dyDescent="0.3">
      <c r="A95"/>
      <c r="B95"/>
      <c r="C95"/>
      <c r="D95"/>
      <c r="F95"/>
      <c r="G95"/>
      <c r="H95"/>
      <c r="I95"/>
      <c r="J95"/>
      <c r="K95"/>
      <c r="L95"/>
      <c r="M95"/>
      <c r="N95"/>
    </row>
    <row r="96" spans="1:14" s="1" customFormat="1" x14ac:dyDescent="0.3">
      <c r="A96"/>
      <c r="B96"/>
      <c r="C96"/>
      <c r="D96"/>
      <c r="F96"/>
      <c r="G96"/>
      <c r="H96"/>
      <c r="I96"/>
      <c r="J96"/>
      <c r="K96"/>
      <c r="L96"/>
      <c r="M96"/>
      <c r="N96"/>
    </row>
    <row r="97" spans="1:14" s="1" customFormat="1" x14ac:dyDescent="0.3">
      <c r="A97"/>
      <c r="B97"/>
      <c r="C97"/>
      <c r="D97"/>
      <c r="F97"/>
      <c r="G97"/>
      <c r="H97"/>
      <c r="I97"/>
      <c r="J97"/>
      <c r="K97"/>
      <c r="L97"/>
      <c r="M97"/>
      <c r="N97"/>
    </row>
    <row r="98" spans="1:14" s="1" customFormat="1" x14ac:dyDescent="0.3">
      <c r="A98"/>
      <c r="B98"/>
      <c r="C98"/>
      <c r="D98"/>
      <c r="F98"/>
      <c r="G98"/>
      <c r="H98"/>
      <c r="I98"/>
      <c r="J98"/>
      <c r="K98"/>
      <c r="L98"/>
      <c r="M98"/>
      <c r="N98"/>
    </row>
    <row r="99" spans="1:14" s="1" customFormat="1" x14ac:dyDescent="0.3">
      <c r="A99"/>
      <c r="B99"/>
      <c r="C99"/>
      <c r="D99"/>
      <c r="F99"/>
      <c r="G99"/>
      <c r="H99"/>
      <c r="I99"/>
      <c r="J99"/>
      <c r="K99"/>
      <c r="L99"/>
      <c r="M99"/>
      <c r="N99"/>
    </row>
    <row r="100" spans="1:14" s="1" customFormat="1" x14ac:dyDescent="0.3">
      <c r="A100"/>
      <c r="B100"/>
      <c r="C100"/>
      <c r="D100"/>
      <c r="F100"/>
      <c r="G100"/>
      <c r="H100"/>
      <c r="I100"/>
      <c r="J100"/>
      <c r="K100"/>
      <c r="L100"/>
      <c r="M100"/>
      <c r="N100"/>
    </row>
    <row r="101" spans="1:14" s="1" customFormat="1" x14ac:dyDescent="0.3">
      <c r="A101"/>
      <c r="B101"/>
      <c r="C101"/>
      <c r="D101"/>
      <c r="F101"/>
      <c r="G101"/>
      <c r="H101"/>
      <c r="I101"/>
      <c r="J101"/>
      <c r="K101"/>
      <c r="L101"/>
      <c r="M101"/>
      <c r="N101"/>
    </row>
    <row r="102" spans="1:14" s="1" customFormat="1" x14ac:dyDescent="0.3">
      <c r="A102"/>
      <c r="B102"/>
      <c r="C102"/>
      <c r="D102"/>
      <c r="F102"/>
      <c r="G102"/>
      <c r="H102"/>
      <c r="I102"/>
      <c r="J102"/>
      <c r="K102"/>
      <c r="L102"/>
      <c r="M102"/>
      <c r="N102"/>
    </row>
    <row r="103" spans="1:14" s="1" customFormat="1" x14ac:dyDescent="0.3">
      <c r="A103"/>
      <c r="B103"/>
      <c r="C103"/>
      <c r="D103"/>
      <c r="F103"/>
      <c r="G103"/>
      <c r="H103"/>
      <c r="I103"/>
      <c r="J103"/>
      <c r="K103"/>
      <c r="L103"/>
      <c r="M103"/>
      <c r="N103"/>
    </row>
    <row r="104" spans="1:14" s="1" customFormat="1" x14ac:dyDescent="0.3">
      <c r="A104"/>
      <c r="B104"/>
      <c r="C104"/>
      <c r="D104"/>
      <c r="F104"/>
      <c r="G104"/>
      <c r="H104"/>
      <c r="I104"/>
      <c r="J104"/>
      <c r="K104"/>
      <c r="L104"/>
      <c r="M104"/>
      <c r="N104"/>
    </row>
    <row r="105" spans="1:14" s="1" customFormat="1" x14ac:dyDescent="0.3">
      <c r="A105"/>
      <c r="B105"/>
      <c r="C105"/>
      <c r="D105"/>
      <c r="F105"/>
      <c r="G105"/>
      <c r="H105"/>
      <c r="I105"/>
      <c r="J105"/>
      <c r="K105"/>
      <c r="L105"/>
      <c r="M105"/>
      <c r="N105"/>
    </row>
    <row r="106" spans="1:14" s="1" customFormat="1" x14ac:dyDescent="0.3">
      <c r="A106"/>
      <c r="B106"/>
      <c r="C106"/>
      <c r="D106"/>
      <c r="F106"/>
      <c r="G106"/>
      <c r="H106"/>
      <c r="I106"/>
      <c r="J106"/>
      <c r="K106"/>
      <c r="L106"/>
      <c r="M106"/>
      <c r="N106"/>
    </row>
    <row r="107" spans="1:14" s="1" customFormat="1" x14ac:dyDescent="0.3">
      <c r="A107"/>
      <c r="B107"/>
      <c r="C107"/>
      <c r="D107"/>
      <c r="F107"/>
      <c r="G107"/>
      <c r="H107"/>
      <c r="I107"/>
      <c r="J107"/>
      <c r="K107"/>
      <c r="L107"/>
      <c r="M107"/>
      <c r="N107"/>
    </row>
    <row r="108" spans="1:14" s="1" customFormat="1" x14ac:dyDescent="0.3">
      <c r="A108"/>
      <c r="B108"/>
      <c r="C108"/>
      <c r="D108"/>
      <c r="F108"/>
      <c r="G108"/>
      <c r="H108"/>
      <c r="I108"/>
      <c r="J108"/>
      <c r="K108"/>
      <c r="L108"/>
      <c r="M108"/>
      <c r="N108"/>
    </row>
    <row r="109" spans="1:14" s="1" customFormat="1" x14ac:dyDescent="0.3">
      <c r="A109"/>
      <c r="B109"/>
      <c r="C109"/>
      <c r="D109"/>
      <c r="F109"/>
      <c r="G109"/>
      <c r="H109"/>
      <c r="I109"/>
      <c r="J109"/>
      <c r="K109"/>
      <c r="L109"/>
      <c r="M109"/>
      <c r="N109"/>
    </row>
    <row r="110" spans="1:14" s="1" customFormat="1" x14ac:dyDescent="0.3">
      <c r="A110"/>
      <c r="B110"/>
      <c r="C110"/>
      <c r="D110"/>
      <c r="F110"/>
      <c r="G110"/>
      <c r="H110"/>
      <c r="I110"/>
      <c r="J110"/>
      <c r="K110"/>
      <c r="L110"/>
      <c r="M110"/>
      <c r="N110"/>
    </row>
    <row r="111" spans="1:14" s="1" customFormat="1" x14ac:dyDescent="0.3">
      <c r="A111"/>
      <c r="B111"/>
      <c r="C111"/>
      <c r="D111"/>
      <c r="F111"/>
      <c r="G111"/>
      <c r="H111"/>
      <c r="I111"/>
      <c r="J111"/>
      <c r="K111"/>
      <c r="L111"/>
      <c r="M111"/>
      <c r="N111"/>
    </row>
    <row r="112" spans="1:14" s="1" customFormat="1" x14ac:dyDescent="0.3">
      <c r="A112"/>
      <c r="B112"/>
      <c r="C112"/>
      <c r="D112"/>
      <c r="F112"/>
      <c r="G112"/>
      <c r="H112"/>
      <c r="I112"/>
      <c r="J112"/>
      <c r="K112"/>
      <c r="L112"/>
      <c r="M112"/>
      <c r="N112"/>
    </row>
    <row r="113" spans="1:14" s="1" customFormat="1" x14ac:dyDescent="0.3">
      <c r="A113"/>
      <c r="B113"/>
      <c r="C113"/>
      <c r="D113"/>
      <c r="F113"/>
      <c r="G113"/>
      <c r="H113"/>
      <c r="I113"/>
      <c r="J113"/>
      <c r="K113"/>
      <c r="L113"/>
      <c r="M113"/>
      <c r="N113"/>
    </row>
    <row r="114" spans="1:14" s="1" customFormat="1" x14ac:dyDescent="0.3">
      <c r="A114"/>
      <c r="B114"/>
      <c r="C114"/>
      <c r="D114"/>
      <c r="F114"/>
      <c r="G114"/>
      <c r="H114"/>
      <c r="I114"/>
      <c r="J114"/>
      <c r="K114"/>
      <c r="L114"/>
      <c r="M114"/>
      <c r="N114"/>
    </row>
    <row r="115" spans="1:14" s="1" customFormat="1" x14ac:dyDescent="0.3">
      <c r="A115"/>
      <c r="B115"/>
      <c r="C115"/>
      <c r="D115"/>
      <c r="F115"/>
      <c r="G115"/>
      <c r="H115"/>
      <c r="I115"/>
      <c r="J115"/>
      <c r="K115"/>
      <c r="L115"/>
      <c r="M115"/>
      <c r="N115"/>
    </row>
    <row r="116" spans="1:14" s="1" customFormat="1" x14ac:dyDescent="0.3">
      <c r="A116"/>
      <c r="B116"/>
      <c r="C116"/>
      <c r="D116"/>
      <c r="F116"/>
      <c r="G116"/>
      <c r="H116"/>
      <c r="I116"/>
      <c r="J116"/>
      <c r="K116"/>
      <c r="L116"/>
      <c r="M116"/>
      <c r="N116"/>
    </row>
    <row r="117" spans="1:14" s="1" customFormat="1" x14ac:dyDescent="0.3">
      <c r="A117"/>
      <c r="B117"/>
      <c r="C117"/>
      <c r="D117"/>
      <c r="F117"/>
      <c r="G117"/>
      <c r="H117"/>
      <c r="I117"/>
      <c r="J117"/>
      <c r="K117"/>
      <c r="L117"/>
      <c r="M117"/>
      <c r="N117"/>
    </row>
    <row r="118" spans="1:14" s="1" customFormat="1" x14ac:dyDescent="0.3">
      <c r="A118"/>
      <c r="B118"/>
      <c r="C118"/>
      <c r="D118"/>
      <c r="F118"/>
      <c r="G118"/>
      <c r="H118"/>
      <c r="I118"/>
      <c r="J118"/>
      <c r="K118"/>
      <c r="L118"/>
      <c r="M118"/>
      <c r="N118"/>
    </row>
    <row r="119" spans="1:14" s="1" customFormat="1" x14ac:dyDescent="0.3">
      <c r="A119"/>
      <c r="B119"/>
      <c r="C119"/>
      <c r="D119"/>
      <c r="F119"/>
      <c r="G119"/>
      <c r="H119"/>
      <c r="I119"/>
      <c r="J119"/>
      <c r="K119"/>
      <c r="L119"/>
      <c r="M119"/>
      <c r="N119"/>
    </row>
    <row r="120" spans="1:14" s="1" customFormat="1" x14ac:dyDescent="0.3">
      <c r="A120"/>
      <c r="B120"/>
      <c r="C120"/>
      <c r="D120"/>
      <c r="F120"/>
      <c r="G120"/>
      <c r="H120"/>
      <c r="I120"/>
      <c r="J120"/>
      <c r="K120"/>
      <c r="L120"/>
      <c r="M120"/>
      <c r="N120"/>
    </row>
    <row r="121" spans="1:14" s="1" customFormat="1" x14ac:dyDescent="0.3">
      <c r="A121"/>
      <c r="B121"/>
      <c r="C121"/>
      <c r="D121"/>
      <c r="F121"/>
      <c r="G121"/>
      <c r="H121"/>
      <c r="I121"/>
      <c r="J121"/>
      <c r="K121"/>
      <c r="L121"/>
      <c r="M121"/>
      <c r="N121"/>
    </row>
    <row r="122" spans="1:14" s="1" customFormat="1" x14ac:dyDescent="0.3">
      <c r="A122"/>
      <c r="B122"/>
      <c r="C122"/>
      <c r="D122"/>
      <c r="F122"/>
      <c r="G122"/>
      <c r="H122"/>
      <c r="I122"/>
      <c r="J122"/>
      <c r="K122"/>
      <c r="L122"/>
      <c r="M122"/>
      <c r="N122"/>
    </row>
    <row r="123" spans="1:14" s="1" customFormat="1" x14ac:dyDescent="0.3">
      <c r="A123"/>
      <c r="B123"/>
      <c r="C123"/>
      <c r="D123"/>
      <c r="F123"/>
      <c r="G123"/>
      <c r="H123"/>
      <c r="I123"/>
      <c r="J123"/>
      <c r="K123"/>
      <c r="L123"/>
      <c r="M123"/>
      <c r="N123"/>
    </row>
    <row r="124" spans="1:14" s="1" customFormat="1" x14ac:dyDescent="0.3">
      <c r="A124"/>
      <c r="B124"/>
      <c r="C124"/>
      <c r="D124"/>
      <c r="F124"/>
      <c r="G124"/>
      <c r="H124"/>
      <c r="I124"/>
      <c r="J124"/>
      <c r="K124"/>
      <c r="L124"/>
      <c r="M124"/>
      <c r="N124"/>
    </row>
    <row r="125" spans="1:14" s="1" customFormat="1" x14ac:dyDescent="0.3">
      <c r="A125"/>
      <c r="B125"/>
      <c r="C125"/>
      <c r="D125"/>
      <c r="F125"/>
      <c r="G125"/>
      <c r="H125"/>
      <c r="I125"/>
      <c r="J125"/>
      <c r="K125"/>
      <c r="L125"/>
      <c r="M125"/>
      <c r="N125"/>
    </row>
    <row r="126" spans="1:14" s="1" customFormat="1" x14ac:dyDescent="0.3">
      <c r="A126"/>
      <c r="B126"/>
      <c r="C126"/>
      <c r="D126"/>
      <c r="F126"/>
      <c r="G126"/>
      <c r="H126"/>
      <c r="I126"/>
      <c r="J126"/>
      <c r="K126"/>
      <c r="L126"/>
      <c r="M126"/>
      <c r="N126"/>
    </row>
    <row r="127" spans="1:14" s="1" customFormat="1" x14ac:dyDescent="0.3">
      <c r="A127"/>
      <c r="B127"/>
      <c r="C127"/>
      <c r="D127"/>
      <c r="F127"/>
      <c r="G127"/>
      <c r="H127"/>
      <c r="I127"/>
      <c r="J127"/>
      <c r="K127"/>
      <c r="L127"/>
      <c r="M127"/>
      <c r="N127"/>
    </row>
    <row r="128" spans="1:14" s="1" customFormat="1" x14ac:dyDescent="0.3">
      <c r="A128"/>
      <c r="B128"/>
      <c r="C128"/>
      <c r="D128"/>
      <c r="F128"/>
      <c r="G128"/>
      <c r="H128"/>
      <c r="I128"/>
      <c r="J128"/>
      <c r="K128"/>
      <c r="L128"/>
      <c r="M128"/>
      <c r="N128"/>
    </row>
    <row r="129" spans="1:14" s="1" customFormat="1" x14ac:dyDescent="0.3">
      <c r="A129"/>
      <c r="B129"/>
      <c r="C129"/>
      <c r="D129"/>
      <c r="F129"/>
      <c r="G129"/>
      <c r="H129"/>
      <c r="I129"/>
      <c r="J129"/>
      <c r="K129"/>
      <c r="L129"/>
      <c r="M129"/>
      <c r="N129"/>
    </row>
    <row r="130" spans="1:14" s="1" customFormat="1" x14ac:dyDescent="0.3">
      <c r="A130"/>
      <c r="B130"/>
      <c r="C130"/>
      <c r="D130"/>
      <c r="F130"/>
      <c r="G130"/>
      <c r="H130"/>
      <c r="I130"/>
      <c r="J130"/>
      <c r="K130"/>
      <c r="L130"/>
      <c r="M130"/>
      <c r="N130"/>
    </row>
    <row r="131" spans="1:14" s="1" customFormat="1" x14ac:dyDescent="0.3">
      <c r="A131"/>
      <c r="B131"/>
      <c r="C131"/>
      <c r="D131"/>
      <c r="F131"/>
      <c r="G131"/>
      <c r="H131"/>
      <c r="I131"/>
      <c r="J131"/>
      <c r="K131"/>
      <c r="L131"/>
      <c r="M131"/>
      <c r="N131"/>
    </row>
    <row r="132" spans="1:14" s="1" customFormat="1" x14ac:dyDescent="0.3">
      <c r="A132"/>
      <c r="B132"/>
      <c r="C132"/>
      <c r="D132"/>
      <c r="F132"/>
      <c r="G132"/>
      <c r="H132"/>
      <c r="I132"/>
      <c r="J132"/>
      <c r="K132"/>
      <c r="L132"/>
      <c r="M132"/>
      <c r="N132"/>
    </row>
    <row r="133" spans="1:14" s="1" customFormat="1" x14ac:dyDescent="0.3">
      <c r="A133"/>
      <c r="B133"/>
      <c r="C133"/>
      <c r="D133"/>
      <c r="F133"/>
      <c r="G133"/>
      <c r="H133"/>
      <c r="I133"/>
      <c r="J133"/>
      <c r="K133"/>
      <c r="L133"/>
      <c r="M133"/>
      <c r="N133"/>
    </row>
    <row r="134" spans="1:14" s="1" customFormat="1" x14ac:dyDescent="0.3">
      <c r="A134"/>
      <c r="B134"/>
      <c r="C134"/>
      <c r="D134"/>
      <c r="F134"/>
      <c r="G134"/>
      <c r="H134"/>
      <c r="I134"/>
      <c r="J134"/>
      <c r="K134"/>
      <c r="L134"/>
      <c r="M134"/>
      <c r="N134"/>
    </row>
    <row r="135" spans="1:14" s="1" customFormat="1" x14ac:dyDescent="0.3">
      <c r="A135"/>
      <c r="B135"/>
      <c r="C135"/>
      <c r="D135"/>
      <c r="F135"/>
      <c r="G135"/>
      <c r="H135"/>
      <c r="I135"/>
      <c r="J135"/>
      <c r="K135"/>
      <c r="L135"/>
      <c r="M135"/>
      <c r="N135"/>
    </row>
    <row r="136" spans="1:14" s="1" customFormat="1" x14ac:dyDescent="0.3">
      <c r="A136"/>
      <c r="B136"/>
      <c r="C136"/>
      <c r="D136"/>
      <c r="F136"/>
      <c r="G136"/>
      <c r="H136"/>
      <c r="I136"/>
      <c r="J136"/>
      <c r="K136"/>
      <c r="L136"/>
      <c r="M136"/>
      <c r="N136"/>
    </row>
    <row r="137" spans="1:14" s="1" customFormat="1" x14ac:dyDescent="0.3">
      <c r="A137"/>
      <c r="B137"/>
      <c r="C137"/>
      <c r="D137"/>
      <c r="F137"/>
      <c r="G137"/>
      <c r="H137"/>
      <c r="I137"/>
      <c r="J137"/>
      <c r="K137"/>
      <c r="L137"/>
      <c r="M137"/>
      <c r="N137"/>
    </row>
    <row r="138" spans="1:14" s="1" customFormat="1" x14ac:dyDescent="0.3">
      <c r="A138"/>
      <c r="B138"/>
      <c r="C138"/>
      <c r="D138"/>
      <c r="F138"/>
      <c r="G138"/>
      <c r="H138"/>
      <c r="I138"/>
      <c r="J138"/>
      <c r="K138"/>
      <c r="L138"/>
      <c r="M138"/>
      <c r="N138"/>
    </row>
    <row r="139" spans="1:14" s="1" customFormat="1" x14ac:dyDescent="0.3">
      <c r="A139"/>
      <c r="B139"/>
      <c r="C139"/>
      <c r="D139"/>
      <c r="F139"/>
      <c r="G139"/>
      <c r="H139"/>
      <c r="I139"/>
      <c r="J139"/>
      <c r="K139"/>
      <c r="L139"/>
      <c r="M139"/>
      <c r="N139"/>
    </row>
    <row r="140" spans="1:14" s="1" customFormat="1" x14ac:dyDescent="0.3">
      <c r="A140"/>
      <c r="B140"/>
      <c r="C140"/>
      <c r="D140"/>
      <c r="F140"/>
      <c r="G140"/>
      <c r="H140"/>
      <c r="I140"/>
      <c r="J140"/>
      <c r="K140"/>
      <c r="L140"/>
      <c r="M140"/>
      <c r="N140"/>
    </row>
    <row r="141" spans="1:14" s="1" customFormat="1" x14ac:dyDescent="0.3">
      <c r="A141"/>
      <c r="B141"/>
      <c r="C141"/>
      <c r="D141"/>
      <c r="F141"/>
      <c r="G141"/>
      <c r="H141"/>
      <c r="I141"/>
      <c r="J141"/>
      <c r="K141"/>
      <c r="L141"/>
      <c r="M141"/>
      <c r="N141"/>
    </row>
    <row r="142" spans="1:14" s="1" customFormat="1" x14ac:dyDescent="0.3">
      <c r="A142"/>
      <c r="B142"/>
      <c r="C142"/>
      <c r="D142"/>
      <c r="F142"/>
      <c r="G142"/>
      <c r="H142"/>
      <c r="I142"/>
      <c r="J142"/>
      <c r="K142"/>
      <c r="L142"/>
      <c r="M142"/>
      <c r="N142"/>
    </row>
    <row r="143" spans="1:14" s="1" customFormat="1" x14ac:dyDescent="0.3">
      <c r="A143"/>
      <c r="B143"/>
      <c r="C143"/>
      <c r="D143"/>
      <c r="F143"/>
      <c r="G143"/>
      <c r="H143"/>
      <c r="I143"/>
      <c r="J143"/>
      <c r="K143"/>
      <c r="L143"/>
      <c r="M143"/>
      <c r="N143"/>
    </row>
    <row r="144" spans="1:14" s="1" customFormat="1" x14ac:dyDescent="0.3">
      <c r="A144"/>
      <c r="B144"/>
      <c r="C144"/>
      <c r="D144"/>
      <c r="F144"/>
      <c r="G144"/>
      <c r="H144"/>
      <c r="I144"/>
      <c r="J144"/>
      <c r="K144"/>
      <c r="L144"/>
      <c r="M144"/>
      <c r="N144"/>
    </row>
    <row r="145" spans="1:14" s="1" customFormat="1" x14ac:dyDescent="0.3">
      <c r="A145"/>
      <c r="B145"/>
      <c r="C145"/>
      <c r="D145"/>
      <c r="F145"/>
      <c r="G145"/>
      <c r="H145"/>
      <c r="I145"/>
      <c r="J145"/>
      <c r="K145"/>
      <c r="L145"/>
      <c r="M145"/>
      <c r="N145"/>
    </row>
    <row r="146" spans="1:14" s="1" customFormat="1" x14ac:dyDescent="0.3">
      <c r="A146"/>
      <c r="B146"/>
      <c r="C146"/>
      <c r="D146"/>
      <c r="F146"/>
      <c r="G146"/>
      <c r="H146"/>
      <c r="I146"/>
      <c r="J146"/>
      <c r="K146"/>
      <c r="L146"/>
      <c r="M146"/>
      <c r="N146"/>
    </row>
    <row r="147" spans="1:14" s="1" customFormat="1" x14ac:dyDescent="0.3">
      <c r="A147"/>
      <c r="B147"/>
      <c r="C147"/>
      <c r="D147"/>
      <c r="F147"/>
      <c r="G147"/>
      <c r="H147"/>
      <c r="I147"/>
      <c r="J147"/>
      <c r="K147"/>
      <c r="L147"/>
      <c r="M147"/>
      <c r="N147"/>
    </row>
    <row r="148" spans="1:14" s="1" customFormat="1" x14ac:dyDescent="0.3">
      <c r="A148"/>
      <c r="B148"/>
      <c r="C148"/>
      <c r="D148"/>
      <c r="F148"/>
      <c r="G148"/>
      <c r="H148"/>
      <c r="I148"/>
      <c r="J148"/>
      <c r="K148"/>
      <c r="L148"/>
      <c r="M148"/>
      <c r="N148"/>
    </row>
    <row r="149" spans="1:14" s="1" customFormat="1" x14ac:dyDescent="0.3">
      <c r="A149"/>
      <c r="B149"/>
      <c r="C149"/>
      <c r="D149"/>
      <c r="F149"/>
      <c r="G149"/>
      <c r="H149"/>
      <c r="I149"/>
      <c r="J149"/>
      <c r="K149"/>
      <c r="L149"/>
      <c r="M149"/>
      <c r="N149"/>
    </row>
    <row r="150" spans="1:14" s="1" customFormat="1" x14ac:dyDescent="0.3">
      <c r="A150"/>
      <c r="B150"/>
      <c r="C150"/>
      <c r="D150"/>
      <c r="F150"/>
      <c r="G150"/>
      <c r="H150"/>
      <c r="I150"/>
      <c r="J150"/>
      <c r="K150"/>
      <c r="L150"/>
      <c r="M150"/>
      <c r="N150"/>
    </row>
    <row r="151" spans="1:14" s="1" customFormat="1" x14ac:dyDescent="0.3">
      <c r="A151"/>
      <c r="B151"/>
      <c r="C151"/>
      <c r="D151"/>
      <c r="F151"/>
      <c r="G151"/>
      <c r="H151"/>
      <c r="I151"/>
      <c r="J151"/>
      <c r="K151"/>
      <c r="L151"/>
      <c r="M151"/>
      <c r="N151"/>
    </row>
    <row r="152" spans="1:14" s="1" customFormat="1" x14ac:dyDescent="0.3">
      <c r="A152"/>
      <c r="B152"/>
      <c r="C152"/>
      <c r="D152"/>
      <c r="F152"/>
      <c r="G152"/>
      <c r="H152"/>
      <c r="I152"/>
      <c r="J152"/>
      <c r="K152"/>
      <c r="L152"/>
      <c r="M152"/>
      <c r="N152"/>
    </row>
    <row r="153" spans="1:14" s="1" customFormat="1" x14ac:dyDescent="0.3">
      <c r="A153"/>
      <c r="B153"/>
      <c r="C153"/>
      <c r="D153"/>
      <c r="F153"/>
      <c r="G153"/>
      <c r="H153"/>
      <c r="I153"/>
      <c r="J153"/>
      <c r="K153"/>
      <c r="L153"/>
      <c r="M153"/>
      <c r="N153"/>
    </row>
    <row r="154" spans="1:14" s="1" customFormat="1" x14ac:dyDescent="0.3">
      <c r="A154"/>
      <c r="B154"/>
      <c r="C154"/>
      <c r="D154"/>
      <c r="F154"/>
      <c r="G154"/>
      <c r="H154"/>
      <c r="I154"/>
      <c r="J154"/>
      <c r="K154"/>
      <c r="L154"/>
      <c r="M154"/>
      <c r="N154"/>
    </row>
    <row r="155" spans="1:14" s="1" customFormat="1" x14ac:dyDescent="0.3">
      <c r="A155"/>
      <c r="B155"/>
      <c r="C155"/>
      <c r="D155"/>
      <c r="F155"/>
      <c r="G155"/>
      <c r="H155"/>
      <c r="I155"/>
      <c r="J155"/>
      <c r="K155"/>
      <c r="L155"/>
      <c r="M155"/>
      <c r="N155"/>
    </row>
    <row r="156" spans="1:14" s="1" customFormat="1" x14ac:dyDescent="0.3">
      <c r="A156"/>
      <c r="B156"/>
      <c r="C156"/>
      <c r="D156"/>
      <c r="F156"/>
      <c r="G156"/>
      <c r="H156"/>
      <c r="I156"/>
      <c r="J156"/>
      <c r="K156"/>
      <c r="L156"/>
      <c r="M156"/>
      <c r="N156"/>
    </row>
    <row r="157" spans="1:14" s="1" customFormat="1" x14ac:dyDescent="0.3">
      <c r="A157"/>
      <c r="B157"/>
      <c r="C157"/>
      <c r="D157"/>
      <c r="F157"/>
      <c r="G157"/>
      <c r="H157"/>
      <c r="I157"/>
      <c r="J157"/>
      <c r="K157"/>
      <c r="L157"/>
      <c r="M157"/>
      <c r="N157"/>
    </row>
    <row r="158" spans="1:14" s="1" customFormat="1" x14ac:dyDescent="0.3">
      <c r="A158"/>
      <c r="B158"/>
      <c r="C158"/>
      <c r="D158"/>
      <c r="F158"/>
      <c r="G158"/>
      <c r="H158"/>
      <c r="I158"/>
      <c r="J158"/>
      <c r="K158"/>
      <c r="L158"/>
      <c r="M158"/>
      <c r="N158"/>
    </row>
    <row r="159" spans="1:14" s="1" customFormat="1" x14ac:dyDescent="0.3">
      <c r="A159"/>
      <c r="B159"/>
      <c r="C159"/>
      <c r="D159"/>
      <c r="F159"/>
      <c r="G159"/>
      <c r="H159"/>
      <c r="I159"/>
      <c r="J159"/>
      <c r="K159"/>
      <c r="L159"/>
      <c r="M159"/>
      <c r="N159"/>
    </row>
    <row r="160" spans="1:14" s="1" customFormat="1" x14ac:dyDescent="0.3">
      <c r="A160"/>
      <c r="B160"/>
      <c r="C160"/>
      <c r="D160"/>
      <c r="F160"/>
      <c r="G160"/>
      <c r="H160"/>
      <c r="I160"/>
      <c r="J160"/>
      <c r="K160"/>
      <c r="L160"/>
      <c r="M160"/>
      <c r="N160"/>
    </row>
    <row r="161" spans="1:14" s="1" customFormat="1" x14ac:dyDescent="0.3">
      <c r="A161"/>
      <c r="B161"/>
      <c r="C161"/>
      <c r="D161"/>
      <c r="F161"/>
      <c r="G161"/>
      <c r="H161"/>
      <c r="I161"/>
      <c r="J161"/>
      <c r="K161"/>
      <c r="L161"/>
      <c r="M161"/>
      <c r="N161"/>
    </row>
    <row r="162" spans="1:14" s="1" customFormat="1" x14ac:dyDescent="0.3">
      <c r="A162"/>
      <c r="B162"/>
      <c r="C162"/>
      <c r="D162"/>
      <c r="F162"/>
      <c r="G162"/>
      <c r="H162"/>
      <c r="I162"/>
      <c r="J162"/>
      <c r="K162"/>
      <c r="L162"/>
      <c r="M162"/>
      <c r="N162"/>
    </row>
    <row r="163" spans="1:14" s="1" customFormat="1" x14ac:dyDescent="0.3">
      <c r="A163"/>
      <c r="B163"/>
      <c r="C163"/>
      <c r="D163"/>
      <c r="F163"/>
      <c r="G163"/>
      <c r="H163"/>
      <c r="I163"/>
      <c r="J163"/>
      <c r="K163"/>
      <c r="L163"/>
      <c r="M163"/>
      <c r="N163"/>
    </row>
    <row r="164" spans="1:14" s="1" customFormat="1" x14ac:dyDescent="0.3">
      <c r="A164"/>
      <c r="B164"/>
      <c r="C164"/>
      <c r="D164"/>
      <c r="F164"/>
      <c r="G164"/>
      <c r="H164"/>
      <c r="I164"/>
      <c r="J164"/>
      <c r="K164"/>
      <c r="L164"/>
      <c r="M164"/>
      <c r="N164"/>
    </row>
    <row r="165" spans="1:14" s="1" customFormat="1" x14ac:dyDescent="0.3">
      <c r="A165"/>
      <c r="B165"/>
      <c r="C165"/>
      <c r="D165"/>
      <c r="F165"/>
      <c r="G165"/>
      <c r="H165"/>
      <c r="I165"/>
      <c r="J165"/>
      <c r="K165"/>
      <c r="L165"/>
      <c r="M165"/>
      <c r="N165"/>
    </row>
    <row r="166" spans="1:14" s="1" customFormat="1" x14ac:dyDescent="0.3">
      <c r="A166"/>
      <c r="B166"/>
      <c r="C166"/>
      <c r="D166"/>
      <c r="F166"/>
      <c r="G166"/>
      <c r="H166"/>
      <c r="I166"/>
      <c r="J166"/>
      <c r="K166"/>
      <c r="L166"/>
      <c r="M166"/>
      <c r="N166"/>
    </row>
    <row r="167" spans="1:14" s="1" customFormat="1" x14ac:dyDescent="0.3">
      <c r="A167"/>
      <c r="B167"/>
      <c r="C167"/>
      <c r="D167"/>
      <c r="F167"/>
      <c r="G167"/>
      <c r="H167"/>
      <c r="I167"/>
      <c r="J167"/>
      <c r="K167"/>
      <c r="L167"/>
      <c r="M167"/>
      <c r="N167"/>
    </row>
    <row r="168" spans="1:14" s="1" customFormat="1" x14ac:dyDescent="0.3">
      <c r="A168"/>
      <c r="B168"/>
      <c r="C168"/>
      <c r="D168"/>
      <c r="F168"/>
      <c r="G168"/>
      <c r="H168"/>
      <c r="I168"/>
      <c r="J168"/>
      <c r="K168"/>
      <c r="L168"/>
      <c r="M168"/>
      <c r="N168"/>
    </row>
    <row r="169" spans="1:14" s="1" customFormat="1" x14ac:dyDescent="0.3">
      <c r="A169"/>
      <c r="B169"/>
      <c r="C169"/>
      <c r="D169"/>
      <c r="F169"/>
      <c r="G169"/>
      <c r="H169"/>
      <c r="I169"/>
      <c r="J169"/>
      <c r="K169"/>
      <c r="L169"/>
      <c r="M169"/>
      <c r="N169"/>
    </row>
    <row r="170" spans="1:14" s="1" customFormat="1" x14ac:dyDescent="0.3">
      <c r="A170"/>
      <c r="B170"/>
      <c r="C170"/>
      <c r="D170"/>
      <c r="F170"/>
      <c r="G170"/>
      <c r="H170"/>
      <c r="I170"/>
      <c r="J170"/>
      <c r="K170"/>
      <c r="L170"/>
      <c r="M170"/>
      <c r="N170"/>
    </row>
    <row r="171" spans="1:14" s="1" customFormat="1" x14ac:dyDescent="0.3">
      <c r="A171"/>
      <c r="B171"/>
      <c r="C171"/>
      <c r="D171"/>
      <c r="F171"/>
      <c r="G171"/>
      <c r="H171"/>
      <c r="I171"/>
      <c r="J171"/>
      <c r="K171"/>
      <c r="L171"/>
      <c r="M171"/>
      <c r="N171"/>
    </row>
    <row r="172" spans="1:14" s="1" customFormat="1" x14ac:dyDescent="0.3">
      <c r="A172"/>
      <c r="B172"/>
      <c r="C172"/>
      <c r="D172"/>
      <c r="F172"/>
      <c r="G172"/>
      <c r="H172"/>
      <c r="I172"/>
      <c r="J172"/>
      <c r="K172"/>
      <c r="L172"/>
      <c r="M172"/>
      <c r="N172"/>
    </row>
    <row r="173" spans="1:14" s="1" customFormat="1" x14ac:dyDescent="0.3">
      <c r="A173"/>
      <c r="B173"/>
      <c r="C173"/>
      <c r="D173"/>
      <c r="F173"/>
      <c r="G173"/>
      <c r="H173"/>
      <c r="I173"/>
      <c r="J173"/>
      <c r="K173"/>
      <c r="L173"/>
      <c r="M173"/>
      <c r="N173"/>
    </row>
    <row r="174" spans="1:14" s="1" customFormat="1" x14ac:dyDescent="0.3">
      <c r="A174"/>
      <c r="B174"/>
      <c r="C174"/>
      <c r="D174"/>
      <c r="F174"/>
      <c r="G174"/>
      <c r="H174"/>
      <c r="I174"/>
      <c r="J174"/>
      <c r="K174"/>
      <c r="L174"/>
      <c r="M174"/>
      <c r="N174"/>
    </row>
    <row r="175" spans="1:14" s="1" customFormat="1" x14ac:dyDescent="0.3">
      <c r="A175"/>
      <c r="B175"/>
      <c r="C175"/>
      <c r="D175"/>
      <c r="F175"/>
      <c r="G175"/>
      <c r="H175"/>
      <c r="I175"/>
      <c r="J175"/>
      <c r="K175"/>
      <c r="L175"/>
      <c r="M175"/>
      <c r="N175"/>
    </row>
    <row r="176" spans="1:14" s="1" customFormat="1" x14ac:dyDescent="0.3">
      <c r="A176"/>
      <c r="B176"/>
      <c r="C176"/>
      <c r="D176"/>
      <c r="F176"/>
      <c r="G176"/>
      <c r="H176"/>
      <c r="I176"/>
      <c r="J176"/>
      <c r="K176"/>
      <c r="L176"/>
      <c r="M176"/>
      <c r="N176"/>
    </row>
    <row r="177" spans="1:14" s="1" customFormat="1" x14ac:dyDescent="0.3">
      <c r="A177"/>
      <c r="B177"/>
      <c r="C177"/>
      <c r="D177"/>
      <c r="F177"/>
      <c r="G177"/>
      <c r="H177"/>
      <c r="I177"/>
      <c r="J177"/>
      <c r="K177"/>
      <c r="L177"/>
      <c r="M177"/>
      <c r="N177"/>
    </row>
    <row r="178" spans="1:14" s="1" customFormat="1" x14ac:dyDescent="0.3">
      <c r="A178"/>
      <c r="B178"/>
      <c r="C178"/>
      <c r="D178"/>
      <c r="F178"/>
      <c r="G178"/>
      <c r="H178"/>
      <c r="I178"/>
      <c r="J178"/>
      <c r="K178"/>
      <c r="L178"/>
      <c r="M178"/>
      <c r="N178"/>
    </row>
    <row r="179" spans="1:14" s="1" customFormat="1" x14ac:dyDescent="0.3">
      <c r="A179"/>
      <c r="B179"/>
      <c r="C179"/>
      <c r="D179"/>
      <c r="F179"/>
      <c r="G179"/>
      <c r="H179"/>
      <c r="I179"/>
      <c r="J179"/>
      <c r="K179"/>
      <c r="L179"/>
      <c r="M179"/>
      <c r="N179"/>
    </row>
    <row r="180" spans="1:14" s="1" customFormat="1" x14ac:dyDescent="0.3">
      <c r="A180"/>
      <c r="B180"/>
      <c r="C180"/>
      <c r="D180"/>
      <c r="F180"/>
      <c r="G180"/>
      <c r="H180"/>
      <c r="I180"/>
      <c r="J180"/>
      <c r="K180"/>
      <c r="L180"/>
      <c r="M180"/>
      <c r="N180"/>
    </row>
    <row r="181" spans="1:14" s="1" customFormat="1" x14ac:dyDescent="0.3">
      <c r="A181"/>
      <c r="B181"/>
      <c r="C181"/>
      <c r="D181"/>
      <c r="F181"/>
      <c r="G181"/>
      <c r="H181"/>
      <c r="I181"/>
      <c r="J181"/>
      <c r="K181"/>
      <c r="L181"/>
      <c r="M181"/>
      <c r="N181"/>
    </row>
    <row r="182" spans="1:14" s="1" customFormat="1" x14ac:dyDescent="0.3">
      <c r="A182"/>
      <c r="B182"/>
      <c r="C182"/>
      <c r="D182"/>
      <c r="F182"/>
      <c r="G182"/>
      <c r="H182"/>
      <c r="I182"/>
      <c r="J182"/>
      <c r="K182"/>
      <c r="L182"/>
      <c r="M182"/>
      <c r="N182"/>
    </row>
    <row r="183" spans="1:14" s="1" customFormat="1" x14ac:dyDescent="0.3">
      <c r="A183"/>
      <c r="B183"/>
      <c r="C183"/>
      <c r="D183"/>
      <c r="F183"/>
      <c r="G183"/>
      <c r="H183"/>
      <c r="I183"/>
      <c r="J183"/>
      <c r="K183"/>
      <c r="L183"/>
      <c r="M183"/>
      <c r="N183"/>
    </row>
    <row r="184" spans="1:14" s="1" customFormat="1" x14ac:dyDescent="0.3">
      <c r="A184"/>
      <c r="B184"/>
      <c r="C184"/>
      <c r="D184"/>
      <c r="F184"/>
      <c r="G184"/>
      <c r="H184"/>
      <c r="I184"/>
      <c r="J184"/>
      <c r="K184"/>
      <c r="L184"/>
      <c r="M184"/>
      <c r="N184"/>
    </row>
    <row r="185" spans="1:14" s="1" customFormat="1" x14ac:dyDescent="0.3">
      <c r="A185"/>
      <c r="B185"/>
      <c r="C185"/>
      <c r="D185"/>
      <c r="F185"/>
      <c r="G185"/>
      <c r="H185"/>
      <c r="I185"/>
      <c r="J185"/>
      <c r="K185"/>
      <c r="L185"/>
      <c r="M185"/>
      <c r="N185"/>
    </row>
    <row r="186" spans="1:14" s="1" customFormat="1" x14ac:dyDescent="0.3">
      <c r="A186"/>
      <c r="B186"/>
      <c r="C186"/>
      <c r="D186"/>
      <c r="F186"/>
      <c r="G186"/>
      <c r="H186"/>
      <c r="I186"/>
      <c r="J186"/>
      <c r="K186"/>
      <c r="L186"/>
      <c r="M186"/>
      <c r="N186"/>
    </row>
    <row r="187" spans="1:14" s="1" customFormat="1" x14ac:dyDescent="0.3">
      <c r="A187"/>
      <c r="B187"/>
      <c r="C187"/>
      <c r="D187"/>
      <c r="F187"/>
      <c r="G187"/>
      <c r="H187"/>
      <c r="I187"/>
      <c r="J187"/>
      <c r="K187"/>
      <c r="L187"/>
      <c r="M187"/>
      <c r="N187"/>
    </row>
    <row r="188" spans="1:14" s="1" customFormat="1" x14ac:dyDescent="0.3">
      <c r="A188"/>
      <c r="B188"/>
      <c r="C188"/>
      <c r="D188"/>
      <c r="F188"/>
      <c r="G188"/>
      <c r="H188"/>
      <c r="I188"/>
      <c r="J188"/>
      <c r="K188"/>
      <c r="L188"/>
      <c r="M188"/>
      <c r="N188"/>
    </row>
    <row r="189" spans="1:14" s="1" customFormat="1" x14ac:dyDescent="0.3">
      <c r="A189"/>
      <c r="B189"/>
      <c r="C189"/>
      <c r="D189"/>
      <c r="F189"/>
      <c r="G189"/>
      <c r="H189"/>
      <c r="I189"/>
      <c r="J189"/>
      <c r="K189"/>
      <c r="L189"/>
      <c r="M189"/>
      <c r="N189"/>
    </row>
    <row r="190" spans="1:14" s="1" customFormat="1" x14ac:dyDescent="0.3">
      <c r="A190"/>
      <c r="B190"/>
      <c r="C190"/>
      <c r="D190"/>
      <c r="F190"/>
      <c r="G190"/>
      <c r="H190"/>
      <c r="I190"/>
      <c r="J190"/>
      <c r="K190"/>
      <c r="L190"/>
      <c r="M190"/>
      <c r="N190"/>
    </row>
    <row r="191" spans="1:14" s="1" customFormat="1" x14ac:dyDescent="0.3">
      <c r="A191"/>
      <c r="B191"/>
      <c r="C191"/>
      <c r="D191"/>
      <c r="F191"/>
      <c r="G191"/>
      <c r="H191"/>
      <c r="I191"/>
      <c r="J191"/>
      <c r="K191"/>
      <c r="L191"/>
      <c r="M191"/>
      <c r="N191"/>
    </row>
    <row r="192" spans="1:14" s="1" customFormat="1" x14ac:dyDescent="0.3">
      <c r="A192"/>
      <c r="B192"/>
      <c r="C192"/>
      <c r="D192"/>
      <c r="F192"/>
      <c r="G192"/>
      <c r="H192"/>
      <c r="I192"/>
      <c r="J192"/>
      <c r="K192"/>
      <c r="L192"/>
      <c r="M192"/>
      <c r="N192"/>
    </row>
    <row r="193" spans="1:14" s="1" customFormat="1" x14ac:dyDescent="0.3">
      <c r="A193"/>
      <c r="B193"/>
      <c r="C193"/>
      <c r="D193"/>
      <c r="F193"/>
      <c r="G193"/>
      <c r="H193"/>
      <c r="I193"/>
      <c r="J193"/>
      <c r="K193"/>
      <c r="L193"/>
      <c r="M193"/>
      <c r="N193"/>
    </row>
    <row r="194" spans="1:14" s="1" customFormat="1" x14ac:dyDescent="0.3">
      <c r="A194"/>
      <c r="B194"/>
      <c r="C194"/>
      <c r="D194"/>
      <c r="F194"/>
      <c r="G194"/>
      <c r="H194"/>
      <c r="I194"/>
      <c r="J194"/>
      <c r="K194"/>
      <c r="L194"/>
      <c r="M194"/>
      <c r="N194"/>
    </row>
    <row r="195" spans="1:14" s="1" customFormat="1" x14ac:dyDescent="0.3">
      <c r="A195"/>
      <c r="B195"/>
      <c r="C195"/>
      <c r="D195"/>
      <c r="F195"/>
      <c r="G195"/>
      <c r="H195"/>
      <c r="I195"/>
      <c r="J195"/>
      <c r="K195"/>
      <c r="L195"/>
      <c r="M195"/>
      <c r="N195"/>
    </row>
    <row r="196" spans="1:14" s="1" customFormat="1" x14ac:dyDescent="0.3">
      <c r="A196"/>
      <c r="B196"/>
      <c r="C196"/>
      <c r="D196"/>
      <c r="F196"/>
      <c r="G196"/>
      <c r="H196"/>
      <c r="I196"/>
      <c r="J196"/>
      <c r="K196"/>
      <c r="L196"/>
      <c r="M196"/>
      <c r="N196"/>
    </row>
    <row r="197" spans="1:14" s="1" customFormat="1" x14ac:dyDescent="0.3">
      <c r="A197"/>
      <c r="B197"/>
      <c r="C197"/>
      <c r="D197"/>
      <c r="F197"/>
      <c r="G197"/>
      <c r="H197"/>
      <c r="I197"/>
      <c r="J197"/>
      <c r="K197"/>
      <c r="L197"/>
      <c r="M197"/>
      <c r="N197"/>
    </row>
    <row r="198" spans="1:14" s="1" customFormat="1" x14ac:dyDescent="0.3">
      <c r="A198"/>
      <c r="B198"/>
      <c r="C198"/>
      <c r="D198"/>
      <c r="F198"/>
      <c r="G198"/>
      <c r="H198"/>
      <c r="I198"/>
      <c r="J198"/>
      <c r="K198"/>
      <c r="L198"/>
      <c r="M198"/>
      <c r="N198"/>
    </row>
    <row r="199" spans="1:14" s="1" customFormat="1" x14ac:dyDescent="0.3">
      <c r="A199"/>
      <c r="B199"/>
      <c r="C199"/>
      <c r="D199"/>
      <c r="F199"/>
      <c r="G199"/>
      <c r="H199"/>
      <c r="I199"/>
      <c r="J199"/>
      <c r="K199"/>
      <c r="L199"/>
      <c r="M199"/>
      <c r="N199"/>
    </row>
    <row r="200" spans="1:14" s="1" customFormat="1" x14ac:dyDescent="0.3">
      <c r="A200"/>
      <c r="B200"/>
      <c r="C200"/>
      <c r="D200"/>
      <c r="F200"/>
      <c r="G200"/>
      <c r="H200"/>
      <c r="I200"/>
      <c r="J200"/>
      <c r="K200"/>
      <c r="L200"/>
      <c r="M200"/>
      <c r="N200"/>
    </row>
    <row r="201" spans="1:14" s="1" customFormat="1" x14ac:dyDescent="0.3">
      <c r="A201"/>
      <c r="B201"/>
      <c r="C201"/>
      <c r="D201"/>
      <c r="F201"/>
      <c r="G201"/>
      <c r="H201"/>
      <c r="I201"/>
      <c r="J201"/>
      <c r="K201"/>
      <c r="L201"/>
      <c r="M201"/>
      <c r="N201"/>
    </row>
    <row r="202" spans="1:14" s="1" customFormat="1" x14ac:dyDescent="0.3">
      <c r="A202"/>
      <c r="B202"/>
      <c r="C202"/>
      <c r="D202"/>
      <c r="F202"/>
      <c r="G202"/>
      <c r="H202"/>
      <c r="I202"/>
      <c r="J202"/>
      <c r="K202"/>
      <c r="L202"/>
      <c r="M202"/>
      <c r="N202"/>
    </row>
    <row r="203" spans="1:14" s="1" customFormat="1" x14ac:dyDescent="0.3">
      <c r="A203"/>
      <c r="B203"/>
      <c r="C203"/>
      <c r="D203"/>
      <c r="F203"/>
      <c r="G203"/>
      <c r="H203"/>
      <c r="I203"/>
      <c r="J203"/>
      <c r="K203"/>
      <c r="L203"/>
      <c r="M203"/>
      <c r="N203"/>
    </row>
    <row r="204" spans="1:14" s="1" customFormat="1" x14ac:dyDescent="0.3">
      <c r="A204"/>
      <c r="B204"/>
      <c r="C204"/>
      <c r="D204"/>
      <c r="F204"/>
      <c r="G204"/>
      <c r="H204"/>
      <c r="I204"/>
      <c r="J204"/>
      <c r="K204"/>
      <c r="L204"/>
      <c r="M204"/>
      <c r="N204"/>
    </row>
    <row r="205" spans="1:14" s="1" customFormat="1" x14ac:dyDescent="0.3">
      <c r="A205"/>
      <c r="B205"/>
      <c r="C205"/>
      <c r="D205"/>
      <c r="F205"/>
      <c r="G205"/>
      <c r="H205"/>
      <c r="I205"/>
      <c r="J205"/>
      <c r="K205"/>
      <c r="L205"/>
      <c r="M205"/>
      <c r="N205"/>
    </row>
    <row r="206" spans="1:14" s="1" customFormat="1" x14ac:dyDescent="0.3">
      <c r="A206"/>
      <c r="B206"/>
      <c r="C206"/>
      <c r="D206"/>
      <c r="F206"/>
      <c r="G206"/>
      <c r="H206"/>
      <c r="I206"/>
      <c r="J206"/>
      <c r="K206"/>
      <c r="L206"/>
      <c r="M206"/>
      <c r="N206"/>
    </row>
    <row r="207" spans="1:14" s="1" customFormat="1" x14ac:dyDescent="0.3">
      <c r="A207"/>
      <c r="B207"/>
      <c r="C207"/>
      <c r="D207"/>
      <c r="F207"/>
      <c r="G207"/>
      <c r="H207"/>
      <c r="I207"/>
      <c r="J207"/>
      <c r="K207"/>
      <c r="L207"/>
      <c r="M207"/>
      <c r="N207"/>
    </row>
    <row r="208" spans="1:14" s="1" customFormat="1" x14ac:dyDescent="0.3">
      <c r="A208"/>
      <c r="B208"/>
      <c r="C208"/>
      <c r="D208"/>
      <c r="F208"/>
      <c r="G208"/>
      <c r="H208"/>
      <c r="I208"/>
      <c r="J208"/>
      <c r="K208"/>
      <c r="L208"/>
      <c r="M208"/>
      <c r="N208"/>
    </row>
    <row r="209" spans="1:14" s="1" customFormat="1" x14ac:dyDescent="0.3">
      <c r="A209"/>
      <c r="B209"/>
      <c r="C209"/>
      <c r="D209"/>
      <c r="F209"/>
      <c r="G209"/>
      <c r="H209"/>
      <c r="I209"/>
      <c r="J209"/>
      <c r="K209"/>
      <c r="L209"/>
      <c r="M209"/>
      <c r="N209"/>
    </row>
    <row r="210" spans="1:14" s="1" customFormat="1" x14ac:dyDescent="0.3">
      <c r="A210"/>
      <c r="B210"/>
      <c r="C210"/>
      <c r="D210"/>
      <c r="F210"/>
      <c r="G210"/>
      <c r="H210"/>
      <c r="I210"/>
      <c r="J210"/>
      <c r="K210"/>
      <c r="L210"/>
      <c r="M210"/>
      <c r="N210"/>
    </row>
    <row r="211" spans="1:14" s="1" customFormat="1" x14ac:dyDescent="0.3">
      <c r="A211"/>
      <c r="B211"/>
      <c r="C211"/>
      <c r="D211"/>
      <c r="F211"/>
      <c r="G211"/>
      <c r="H211"/>
      <c r="I211"/>
      <c r="J211"/>
      <c r="K211"/>
      <c r="L211"/>
      <c r="M211"/>
      <c r="N211"/>
    </row>
    <row r="212" spans="1:14" s="1" customFormat="1" x14ac:dyDescent="0.3">
      <c r="A212"/>
      <c r="B212"/>
      <c r="C212"/>
      <c r="D212"/>
      <c r="F212"/>
      <c r="G212"/>
      <c r="H212"/>
      <c r="I212"/>
      <c r="J212"/>
      <c r="K212"/>
      <c r="L212"/>
      <c r="M212"/>
      <c r="N212"/>
    </row>
    <row r="213" spans="1:14" s="1" customFormat="1" x14ac:dyDescent="0.3">
      <c r="A213"/>
      <c r="B213"/>
      <c r="C213"/>
      <c r="D213"/>
      <c r="F213"/>
      <c r="G213"/>
      <c r="H213"/>
      <c r="I213"/>
      <c r="J213"/>
      <c r="K213"/>
      <c r="L213"/>
      <c r="M213"/>
      <c r="N213"/>
    </row>
    <row r="214" spans="1:14" s="1" customFormat="1" x14ac:dyDescent="0.3">
      <c r="A214"/>
      <c r="B214"/>
      <c r="C214"/>
      <c r="D214"/>
      <c r="F214"/>
      <c r="G214"/>
      <c r="H214"/>
      <c r="I214"/>
      <c r="J214"/>
      <c r="K214"/>
      <c r="L214"/>
      <c r="M214"/>
      <c r="N214"/>
    </row>
    <row r="215" spans="1:14" s="1" customFormat="1" x14ac:dyDescent="0.3">
      <c r="A215"/>
      <c r="B215"/>
      <c r="C215"/>
      <c r="D215"/>
      <c r="F215"/>
      <c r="G215"/>
      <c r="H215"/>
      <c r="I215"/>
      <c r="J215"/>
      <c r="K215"/>
      <c r="L215"/>
      <c r="M215"/>
      <c r="N215"/>
    </row>
    <row r="216" spans="1:14" s="1" customFormat="1" x14ac:dyDescent="0.3">
      <c r="A216"/>
      <c r="B216"/>
      <c r="C216"/>
      <c r="D216"/>
      <c r="F216"/>
      <c r="G216"/>
      <c r="H216"/>
      <c r="I216"/>
      <c r="J216"/>
      <c r="K216"/>
      <c r="L216"/>
      <c r="M216"/>
      <c r="N216"/>
    </row>
    <row r="217" spans="1:14" s="1" customFormat="1" x14ac:dyDescent="0.3">
      <c r="A217"/>
      <c r="B217"/>
      <c r="C217"/>
      <c r="D217"/>
      <c r="F217"/>
      <c r="G217"/>
      <c r="H217"/>
      <c r="I217"/>
      <c r="J217"/>
      <c r="K217"/>
      <c r="L217"/>
      <c r="M217"/>
      <c r="N217"/>
    </row>
    <row r="218" spans="1:14" s="1" customFormat="1" x14ac:dyDescent="0.3">
      <c r="A218"/>
      <c r="B218"/>
      <c r="C218"/>
      <c r="D218"/>
      <c r="F218"/>
      <c r="G218"/>
      <c r="H218"/>
      <c r="I218"/>
      <c r="J218"/>
      <c r="K218"/>
      <c r="L218"/>
      <c r="M218"/>
      <c r="N218"/>
    </row>
    <row r="219" spans="1:14" s="1" customFormat="1" x14ac:dyDescent="0.3">
      <c r="A219"/>
      <c r="B219"/>
      <c r="C219"/>
      <c r="D219"/>
      <c r="F219"/>
      <c r="G219"/>
      <c r="H219"/>
      <c r="I219"/>
      <c r="J219"/>
      <c r="K219"/>
      <c r="L219"/>
      <c r="M219"/>
      <c r="N219"/>
    </row>
    <row r="220" spans="1:14" s="1" customFormat="1" x14ac:dyDescent="0.3">
      <c r="A220"/>
      <c r="B220"/>
      <c r="C220"/>
      <c r="D220"/>
      <c r="F220"/>
      <c r="G220"/>
      <c r="H220"/>
      <c r="I220"/>
      <c r="J220"/>
      <c r="K220"/>
      <c r="L220"/>
      <c r="M220"/>
      <c r="N220"/>
    </row>
    <row r="221" spans="1:14" s="1" customFormat="1" x14ac:dyDescent="0.3">
      <c r="A221"/>
      <c r="B221"/>
      <c r="C221"/>
      <c r="D221"/>
      <c r="F221"/>
      <c r="G221"/>
      <c r="H221"/>
      <c r="I221"/>
      <c r="J221"/>
      <c r="K221"/>
      <c r="L221"/>
      <c r="M221"/>
      <c r="N221"/>
    </row>
    <row r="222" spans="1:14" s="1" customFormat="1" x14ac:dyDescent="0.3">
      <c r="A222"/>
      <c r="B222"/>
      <c r="C222"/>
      <c r="D222"/>
      <c r="F222"/>
      <c r="G222"/>
      <c r="H222"/>
      <c r="I222"/>
      <c r="J222"/>
      <c r="K222"/>
      <c r="L222"/>
      <c r="M222"/>
      <c r="N222"/>
    </row>
    <row r="223" spans="1:14" s="1" customFormat="1" x14ac:dyDescent="0.3">
      <c r="A223"/>
      <c r="B223"/>
      <c r="C223"/>
      <c r="D223"/>
      <c r="F223"/>
      <c r="G223"/>
      <c r="H223"/>
      <c r="I223"/>
      <c r="J223"/>
      <c r="K223"/>
      <c r="L223"/>
      <c r="M223"/>
      <c r="N223"/>
    </row>
    <row r="224" spans="1:14" s="1" customFormat="1" x14ac:dyDescent="0.3">
      <c r="A224"/>
      <c r="B224"/>
      <c r="C224"/>
      <c r="D224"/>
      <c r="F224"/>
      <c r="G224"/>
      <c r="H224"/>
      <c r="I224"/>
      <c r="J224"/>
      <c r="K224"/>
      <c r="L224"/>
      <c r="M224"/>
      <c r="N224"/>
    </row>
    <row r="225" spans="1:14" s="1" customFormat="1" x14ac:dyDescent="0.3">
      <c r="A225"/>
      <c r="B225"/>
      <c r="C225"/>
      <c r="D225"/>
      <c r="F225"/>
      <c r="G225"/>
      <c r="H225"/>
      <c r="I225"/>
      <c r="J225"/>
      <c r="K225"/>
      <c r="L225"/>
      <c r="M225"/>
      <c r="N225"/>
    </row>
    <row r="226" spans="1:14" s="1" customFormat="1" x14ac:dyDescent="0.3">
      <c r="A226"/>
      <c r="B226"/>
      <c r="C226"/>
      <c r="D226"/>
      <c r="F226"/>
      <c r="G226"/>
      <c r="H226"/>
      <c r="I226"/>
      <c r="J226"/>
      <c r="K226"/>
      <c r="L226"/>
      <c r="M226"/>
      <c r="N226"/>
    </row>
    <row r="227" spans="1:14" s="1" customFormat="1" x14ac:dyDescent="0.3">
      <c r="A227"/>
      <c r="B227"/>
      <c r="C227"/>
      <c r="D227"/>
      <c r="F227"/>
      <c r="G227"/>
      <c r="H227"/>
      <c r="I227"/>
      <c r="J227"/>
      <c r="K227"/>
      <c r="L227"/>
      <c r="M227"/>
      <c r="N227"/>
    </row>
    <row r="228" spans="1:14" s="1" customFormat="1" x14ac:dyDescent="0.3">
      <c r="A228"/>
      <c r="B228"/>
      <c r="C228"/>
      <c r="D228"/>
      <c r="F228"/>
      <c r="G228"/>
      <c r="H228"/>
      <c r="I228"/>
      <c r="J228"/>
      <c r="K228"/>
      <c r="L228"/>
      <c r="M228"/>
      <c r="N228"/>
    </row>
    <row r="229" spans="1:14" s="1" customFormat="1" x14ac:dyDescent="0.3">
      <c r="A229"/>
      <c r="B229"/>
      <c r="C229"/>
      <c r="D229"/>
      <c r="F229"/>
      <c r="G229"/>
      <c r="H229"/>
      <c r="I229"/>
      <c r="J229"/>
      <c r="K229"/>
      <c r="L229"/>
      <c r="M229"/>
      <c r="N229"/>
    </row>
    <row r="230" spans="1:14" s="1" customFormat="1" x14ac:dyDescent="0.3">
      <c r="A230"/>
      <c r="B230"/>
      <c r="C230"/>
      <c r="D230"/>
      <c r="F230"/>
      <c r="G230"/>
      <c r="H230"/>
      <c r="I230"/>
      <c r="J230"/>
      <c r="K230"/>
      <c r="L230"/>
      <c r="M230"/>
      <c r="N230"/>
    </row>
    <row r="231" spans="1:14" s="1" customFormat="1" x14ac:dyDescent="0.3">
      <c r="A231"/>
      <c r="B231"/>
      <c r="C231"/>
      <c r="D231"/>
      <c r="F231"/>
      <c r="G231"/>
      <c r="H231"/>
      <c r="I231"/>
      <c r="J231"/>
      <c r="K231"/>
      <c r="L231"/>
      <c r="M231"/>
      <c r="N231"/>
    </row>
    <row r="232" spans="1:14" s="1" customFormat="1" x14ac:dyDescent="0.3">
      <c r="A232"/>
      <c r="B232"/>
      <c r="C232"/>
      <c r="D232"/>
      <c r="F232"/>
      <c r="G232"/>
      <c r="H232"/>
      <c r="I232"/>
      <c r="J232"/>
      <c r="K232"/>
      <c r="L232"/>
      <c r="M232"/>
      <c r="N232"/>
    </row>
    <row r="233" spans="1:14" s="1" customFormat="1" x14ac:dyDescent="0.3">
      <c r="A233"/>
      <c r="B233"/>
      <c r="C233"/>
      <c r="D233"/>
      <c r="F233"/>
      <c r="G233"/>
      <c r="H233"/>
      <c r="I233"/>
      <c r="J233"/>
      <c r="K233"/>
      <c r="L233"/>
      <c r="M233"/>
      <c r="N233"/>
    </row>
    <row r="234" spans="1:14" s="1" customFormat="1" x14ac:dyDescent="0.3">
      <c r="A234"/>
      <c r="B234"/>
      <c r="C234"/>
      <c r="D234"/>
      <c r="F234"/>
      <c r="G234"/>
      <c r="H234"/>
      <c r="I234"/>
      <c r="J234"/>
      <c r="K234"/>
      <c r="L234"/>
      <c r="M234"/>
      <c r="N234"/>
    </row>
    <row r="235" spans="1:14" s="1" customFormat="1" x14ac:dyDescent="0.3">
      <c r="A235"/>
      <c r="B235"/>
      <c r="C235"/>
      <c r="D235"/>
      <c r="F235"/>
      <c r="G235"/>
      <c r="H235"/>
      <c r="I235"/>
      <c r="J235"/>
      <c r="K235"/>
      <c r="L235"/>
      <c r="M235"/>
      <c r="N235"/>
    </row>
    <row r="236" spans="1:14" s="1" customFormat="1" x14ac:dyDescent="0.3">
      <c r="A236"/>
      <c r="B236"/>
      <c r="C236"/>
      <c r="D236"/>
      <c r="F236"/>
      <c r="G236"/>
      <c r="H236"/>
      <c r="I236"/>
      <c r="J236"/>
      <c r="K236"/>
      <c r="L236"/>
      <c r="M236"/>
      <c r="N236"/>
    </row>
    <row r="237" spans="1:14" s="1" customFormat="1" x14ac:dyDescent="0.3">
      <c r="A237"/>
      <c r="B237"/>
      <c r="C237"/>
      <c r="D237"/>
      <c r="F237"/>
      <c r="G237"/>
      <c r="H237"/>
      <c r="I237"/>
      <c r="J237"/>
      <c r="K237"/>
      <c r="L237"/>
      <c r="M237"/>
      <c r="N237"/>
    </row>
    <row r="238" spans="1:14" s="1" customFormat="1" x14ac:dyDescent="0.3">
      <c r="A238"/>
      <c r="B238"/>
      <c r="C238"/>
      <c r="D238"/>
      <c r="F238"/>
      <c r="G238"/>
      <c r="H238"/>
      <c r="I238"/>
      <c r="J238"/>
      <c r="K238"/>
      <c r="L238"/>
      <c r="M238"/>
      <c r="N238"/>
    </row>
    <row r="239" spans="1:14" s="1" customFormat="1" x14ac:dyDescent="0.3">
      <c r="A239"/>
      <c r="B239"/>
      <c r="C239"/>
      <c r="D239"/>
      <c r="F239"/>
      <c r="G239"/>
      <c r="H239"/>
      <c r="I239"/>
      <c r="J239"/>
      <c r="K239"/>
      <c r="L239"/>
      <c r="M239"/>
      <c r="N239"/>
    </row>
    <row r="240" spans="1:14" s="1" customFormat="1" x14ac:dyDescent="0.3">
      <c r="A240"/>
      <c r="B240"/>
      <c r="C240"/>
      <c r="D240"/>
      <c r="F240"/>
      <c r="G240"/>
      <c r="H240"/>
      <c r="I240"/>
      <c r="J240"/>
      <c r="K240"/>
      <c r="L240"/>
      <c r="M240"/>
      <c r="N240"/>
    </row>
    <row r="241" spans="1:14" s="1" customFormat="1" x14ac:dyDescent="0.3">
      <c r="A241"/>
      <c r="B241"/>
      <c r="C241"/>
      <c r="D241"/>
      <c r="F241"/>
      <c r="G241"/>
      <c r="H241"/>
      <c r="I241"/>
      <c r="J241"/>
      <c r="K241"/>
      <c r="L241"/>
      <c r="M241"/>
      <c r="N241"/>
    </row>
    <row r="242" spans="1:14" s="1" customFormat="1" x14ac:dyDescent="0.3">
      <c r="A242"/>
      <c r="B242"/>
      <c r="C242"/>
      <c r="D242"/>
      <c r="F242"/>
      <c r="G242"/>
      <c r="H242"/>
      <c r="I242"/>
      <c r="J242"/>
      <c r="K242"/>
      <c r="L242"/>
      <c r="M242"/>
      <c r="N242"/>
    </row>
    <row r="243" spans="1:14" s="1" customFormat="1" x14ac:dyDescent="0.3">
      <c r="A243"/>
      <c r="B243"/>
      <c r="C243"/>
      <c r="D243"/>
      <c r="F243"/>
      <c r="G243"/>
      <c r="H243"/>
      <c r="I243"/>
      <c r="J243"/>
      <c r="K243"/>
      <c r="L243"/>
      <c r="M243"/>
      <c r="N243"/>
    </row>
    <row r="244" spans="1:14" s="1" customFormat="1" x14ac:dyDescent="0.3">
      <c r="A244"/>
      <c r="B244"/>
      <c r="C244"/>
      <c r="D244"/>
      <c r="F244"/>
      <c r="G244"/>
      <c r="H244"/>
      <c r="I244"/>
      <c r="J244"/>
      <c r="K244"/>
      <c r="L244"/>
      <c r="M244"/>
      <c r="N244"/>
    </row>
    <row r="245" spans="1:14" s="1" customFormat="1" x14ac:dyDescent="0.3">
      <c r="A245"/>
      <c r="B245"/>
      <c r="C245"/>
      <c r="D245"/>
      <c r="F245"/>
      <c r="G245"/>
      <c r="H245"/>
      <c r="I245"/>
      <c r="J245"/>
      <c r="K245"/>
      <c r="L245"/>
      <c r="M245"/>
      <c r="N245"/>
    </row>
    <row r="246" spans="1:14" s="1" customFormat="1" x14ac:dyDescent="0.3">
      <c r="A246"/>
      <c r="B246"/>
      <c r="C246"/>
      <c r="D246"/>
      <c r="F246"/>
      <c r="G246"/>
      <c r="H246"/>
      <c r="I246"/>
      <c r="J246"/>
      <c r="K246"/>
      <c r="L246"/>
      <c r="M246"/>
      <c r="N246"/>
    </row>
    <row r="247" spans="1:14" s="1" customFormat="1" x14ac:dyDescent="0.3">
      <c r="A247"/>
      <c r="B247"/>
      <c r="C247"/>
      <c r="D247"/>
      <c r="F247"/>
      <c r="G247"/>
      <c r="H247"/>
      <c r="I247"/>
      <c r="J247"/>
      <c r="K247"/>
      <c r="L247"/>
      <c r="M247"/>
      <c r="N247"/>
    </row>
    <row r="248" spans="1:14" s="1" customFormat="1" x14ac:dyDescent="0.3">
      <c r="A248"/>
      <c r="B248"/>
      <c r="C248"/>
      <c r="D248"/>
      <c r="F248"/>
      <c r="G248"/>
      <c r="H248"/>
      <c r="I248"/>
      <c r="J248"/>
      <c r="K248"/>
      <c r="L248"/>
      <c r="M248"/>
      <c r="N248"/>
    </row>
    <row r="249" spans="1:14" s="1" customFormat="1" x14ac:dyDescent="0.3">
      <c r="A249"/>
      <c r="B249"/>
      <c r="C249"/>
      <c r="D249"/>
      <c r="F249"/>
      <c r="G249"/>
      <c r="H249"/>
      <c r="I249"/>
      <c r="J249"/>
      <c r="K249"/>
      <c r="L249"/>
      <c r="M249"/>
      <c r="N249"/>
    </row>
    <row r="250" spans="1:14" s="1" customFormat="1" x14ac:dyDescent="0.3">
      <c r="A250"/>
      <c r="B250"/>
      <c r="C250"/>
      <c r="D250"/>
      <c r="F250"/>
      <c r="G250"/>
      <c r="H250"/>
      <c r="I250"/>
      <c r="J250"/>
      <c r="K250"/>
      <c r="L250"/>
      <c r="M250"/>
      <c r="N250"/>
    </row>
    <row r="251" spans="1:14" s="1" customFormat="1" x14ac:dyDescent="0.3">
      <c r="A251"/>
      <c r="B251"/>
      <c r="C251"/>
      <c r="D251"/>
      <c r="F251"/>
      <c r="G251"/>
      <c r="H251"/>
      <c r="I251"/>
      <c r="J251"/>
      <c r="K251"/>
      <c r="L251"/>
      <c r="M251"/>
      <c r="N251"/>
    </row>
    <row r="252" spans="1:14" s="1" customFormat="1" x14ac:dyDescent="0.3">
      <c r="A252"/>
      <c r="B252"/>
      <c r="C252"/>
      <c r="D252"/>
      <c r="F252"/>
      <c r="G252"/>
      <c r="H252"/>
      <c r="I252"/>
      <c r="J252"/>
      <c r="K252"/>
      <c r="L252"/>
      <c r="M252"/>
      <c r="N252"/>
    </row>
    <row r="253" spans="1:14" s="1" customFormat="1" x14ac:dyDescent="0.3">
      <c r="A253"/>
      <c r="B253"/>
      <c r="C253"/>
      <c r="D253"/>
      <c r="F253"/>
      <c r="G253"/>
      <c r="H253"/>
      <c r="I253"/>
      <c r="J253"/>
      <c r="K253"/>
      <c r="L253"/>
      <c r="M253"/>
      <c r="N253"/>
    </row>
    <row r="254" spans="1:14" s="1" customFormat="1" x14ac:dyDescent="0.3">
      <c r="A254"/>
      <c r="B254"/>
      <c r="C254"/>
      <c r="D254"/>
      <c r="F254"/>
      <c r="G254"/>
      <c r="H254"/>
      <c r="I254"/>
      <c r="J254"/>
      <c r="K254"/>
      <c r="L254"/>
      <c r="M254"/>
      <c r="N254"/>
    </row>
    <row r="255" spans="1:14" s="1" customFormat="1" x14ac:dyDescent="0.3">
      <c r="A255"/>
      <c r="B255"/>
      <c r="C255"/>
      <c r="D255"/>
      <c r="F255"/>
      <c r="G255"/>
      <c r="H255"/>
      <c r="I255"/>
      <c r="J255"/>
      <c r="K255"/>
      <c r="L255"/>
      <c r="M255"/>
      <c r="N255"/>
    </row>
    <row r="256" spans="1:14" s="1" customFormat="1" x14ac:dyDescent="0.3">
      <c r="A256"/>
      <c r="B256"/>
      <c r="C256"/>
      <c r="D256"/>
      <c r="F256"/>
      <c r="G256"/>
      <c r="H256"/>
      <c r="I256"/>
      <c r="J256"/>
      <c r="K256"/>
      <c r="L256"/>
      <c r="M256"/>
      <c r="N256"/>
    </row>
    <row r="257" spans="1:14" s="1" customFormat="1" x14ac:dyDescent="0.3">
      <c r="A257"/>
      <c r="B257"/>
      <c r="C257"/>
      <c r="D257"/>
      <c r="F257"/>
      <c r="G257"/>
      <c r="H257"/>
      <c r="I257"/>
      <c r="J257"/>
      <c r="K257"/>
      <c r="L257"/>
      <c r="M257"/>
      <c r="N257"/>
    </row>
    <row r="258" spans="1:14" s="1" customFormat="1" x14ac:dyDescent="0.3">
      <c r="A258"/>
      <c r="B258"/>
      <c r="C258"/>
      <c r="D258"/>
      <c r="F258"/>
      <c r="G258"/>
      <c r="H258"/>
      <c r="I258"/>
      <c r="J258"/>
      <c r="K258"/>
      <c r="L258"/>
      <c r="M258"/>
      <c r="N258"/>
    </row>
    <row r="259" spans="1:14" s="1" customFormat="1" x14ac:dyDescent="0.3">
      <c r="A259"/>
      <c r="B259"/>
      <c r="C259"/>
      <c r="D259"/>
      <c r="F259"/>
      <c r="G259"/>
      <c r="H259"/>
      <c r="I259"/>
      <c r="J259"/>
      <c r="K259"/>
      <c r="L259"/>
      <c r="M259"/>
      <c r="N259"/>
    </row>
    <row r="260" spans="1:14" s="1" customFormat="1" x14ac:dyDescent="0.3">
      <c r="A260"/>
      <c r="B260"/>
      <c r="C260"/>
      <c r="D260"/>
      <c r="F260"/>
      <c r="G260"/>
      <c r="H260"/>
      <c r="I260"/>
      <c r="J260"/>
      <c r="K260"/>
      <c r="L260"/>
      <c r="M260"/>
      <c r="N260"/>
    </row>
    <row r="261" spans="1:14" s="1" customFormat="1" x14ac:dyDescent="0.3">
      <c r="A261"/>
      <c r="B261"/>
      <c r="C261"/>
      <c r="D261"/>
      <c r="F261"/>
      <c r="G261"/>
      <c r="H261"/>
      <c r="I261"/>
      <c r="J261"/>
      <c r="K261"/>
      <c r="L261"/>
      <c r="M261"/>
      <c r="N261"/>
    </row>
    <row r="262" spans="1:14" s="1" customFormat="1" x14ac:dyDescent="0.3">
      <c r="A262"/>
      <c r="B262"/>
      <c r="C262"/>
      <c r="D262"/>
      <c r="F262"/>
      <c r="G262"/>
      <c r="H262"/>
      <c r="I262"/>
      <c r="J262"/>
      <c r="K262"/>
      <c r="L262"/>
      <c r="M262"/>
      <c r="N262"/>
    </row>
    <row r="263" spans="1:14" s="1" customFormat="1" x14ac:dyDescent="0.3">
      <c r="A263"/>
      <c r="B263"/>
      <c r="C263"/>
      <c r="D263"/>
      <c r="F263"/>
      <c r="G263"/>
      <c r="H263"/>
      <c r="I263"/>
      <c r="J263"/>
      <c r="K263"/>
      <c r="L263"/>
      <c r="M263"/>
      <c r="N263"/>
    </row>
    <row r="264" spans="1:14" s="1" customFormat="1" x14ac:dyDescent="0.3">
      <c r="A264"/>
      <c r="B264"/>
      <c r="C264"/>
      <c r="D264"/>
      <c r="F264"/>
      <c r="G264"/>
      <c r="H264"/>
      <c r="I264"/>
      <c r="J264"/>
      <c r="K264"/>
      <c r="L264"/>
      <c r="M264"/>
      <c r="N264"/>
    </row>
    <row r="265" spans="1:14" s="1" customFormat="1" x14ac:dyDescent="0.3">
      <c r="A265"/>
      <c r="B265"/>
      <c r="C265"/>
      <c r="D265"/>
      <c r="F265"/>
      <c r="G265"/>
      <c r="H265"/>
      <c r="I265"/>
      <c r="J265"/>
      <c r="K265"/>
      <c r="L265"/>
      <c r="M265"/>
      <c r="N265"/>
    </row>
    <row r="266" spans="1:14" s="1" customFormat="1" x14ac:dyDescent="0.3">
      <c r="A266"/>
      <c r="B266"/>
      <c r="C266"/>
      <c r="D266"/>
      <c r="F266"/>
      <c r="G266"/>
      <c r="H266"/>
      <c r="I266"/>
      <c r="J266"/>
      <c r="K266"/>
      <c r="L266"/>
      <c r="M266"/>
      <c r="N266"/>
    </row>
    <row r="267" spans="1:14" s="1" customFormat="1" x14ac:dyDescent="0.3">
      <c r="A267"/>
      <c r="B267"/>
      <c r="C267"/>
      <c r="D267"/>
      <c r="F267"/>
      <c r="G267"/>
      <c r="H267"/>
      <c r="I267"/>
      <c r="J267"/>
      <c r="K267"/>
      <c r="L267"/>
      <c r="M267"/>
      <c r="N267"/>
    </row>
    <row r="268" spans="1:14" s="1" customFormat="1" x14ac:dyDescent="0.3">
      <c r="A268"/>
      <c r="B268"/>
      <c r="C268"/>
      <c r="D268"/>
      <c r="F268"/>
      <c r="G268"/>
      <c r="H268"/>
      <c r="I268"/>
      <c r="J268"/>
      <c r="K268"/>
      <c r="L268"/>
      <c r="M268"/>
      <c r="N268"/>
    </row>
    <row r="269" spans="1:14" s="1" customFormat="1" x14ac:dyDescent="0.3">
      <c r="A269"/>
      <c r="B269"/>
      <c r="C269"/>
      <c r="D269"/>
      <c r="F269"/>
      <c r="G269"/>
      <c r="H269"/>
      <c r="I269"/>
      <c r="J269"/>
      <c r="K269"/>
      <c r="L269"/>
      <c r="M269"/>
      <c r="N269"/>
    </row>
    <row r="270" spans="1:14" s="1" customFormat="1" x14ac:dyDescent="0.3">
      <c r="A270"/>
      <c r="B270"/>
      <c r="C270"/>
      <c r="D270"/>
      <c r="F270"/>
      <c r="G270"/>
      <c r="H270"/>
      <c r="I270"/>
      <c r="J270"/>
      <c r="K270"/>
      <c r="L270"/>
      <c r="M270"/>
      <c r="N270"/>
    </row>
    <row r="271" spans="1:14" s="1" customFormat="1" x14ac:dyDescent="0.3">
      <c r="A271"/>
      <c r="B271"/>
      <c r="C271"/>
      <c r="D271"/>
      <c r="F271"/>
      <c r="G271"/>
      <c r="H271"/>
      <c r="I271"/>
      <c r="J271"/>
      <c r="K271"/>
      <c r="L271"/>
      <c r="M271"/>
      <c r="N271"/>
    </row>
    <row r="272" spans="1:14" s="1" customFormat="1" x14ac:dyDescent="0.3">
      <c r="A272"/>
      <c r="B272"/>
      <c r="C272"/>
      <c r="D272"/>
      <c r="F272"/>
      <c r="G272"/>
      <c r="H272"/>
      <c r="I272"/>
      <c r="J272"/>
      <c r="K272"/>
      <c r="L272"/>
      <c r="M272"/>
      <c r="N272"/>
    </row>
    <row r="273" spans="1:14" s="1" customFormat="1" x14ac:dyDescent="0.3">
      <c r="A273"/>
      <c r="B273"/>
      <c r="C273"/>
      <c r="D273"/>
      <c r="F273"/>
      <c r="G273"/>
      <c r="H273"/>
      <c r="I273"/>
      <c r="J273"/>
      <c r="K273"/>
      <c r="L273"/>
      <c r="M273"/>
      <c r="N273"/>
    </row>
    <row r="274" spans="1:14" s="1" customFormat="1" x14ac:dyDescent="0.3">
      <c r="A274"/>
      <c r="B274"/>
      <c r="C274"/>
      <c r="D274"/>
      <c r="F274"/>
      <c r="G274"/>
      <c r="H274"/>
      <c r="I274"/>
      <c r="J274"/>
      <c r="K274"/>
      <c r="L274"/>
      <c r="M274"/>
      <c r="N274"/>
    </row>
    <row r="275" spans="1:14" s="1" customFormat="1" x14ac:dyDescent="0.3">
      <c r="A275"/>
      <c r="B275"/>
      <c r="C275"/>
      <c r="D275"/>
      <c r="F275"/>
      <c r="G275"/>
      <c r="H275"/>
      <c r="I275"/>
      <c r="J275"/>
      <c r="K275"/>
      <c r="L275"/>
      <c r="M275"/>
      <c r="N275"/>
    </row>
    <row r="276" spans="1:14" s="1" customFormat="1" x14ac:dyDescent="0.3">
      <c r="A276"/>
      <c r="B276"/>
      <c r="C276"/>
      <c r="D276"/>
      <c r="F276"/>
      <c r="G276"/>
      <c r="H276"/>
      <c r="I276"/>
      <c r="J276"/>
      <c r="K276"/>
      <c r="L276"/>
      <c r="M276"/>
      <c r="N276"/>
    </row>
    <row r="277" spans="1:14" s="1" customFormat="1" x14ac:dyDescent="0.3">
      <c r="A277"/>
      <c r="B277"/>
      <c r="C277"/>
      <c r="D277"/>
      <c r="F277"/>
      <c r="G277"/>
      <c r="H277"/>
      <c r="I277"/>
      <c r="J277"/>
      <c r="K277"/>
      <c r="L277"/>
      <c r="M277"/>
      <c r="N277"/>
    </row>
    <row r="278" spans="1:14" s="1" customFormat="1" x14ac:dyDescent="0.3">
      <c r="A278"/>
      <c r="B278"/>
      <c r="C278"/>
      <c r="D278"/>
      <c r="F278"/>
      <c r="G278"/>
      <c r="H278"/>
      <c r="I278"/>
      <c r="J278"/>
      <c r="K278"/>
      <c r="L278"/>
      <c r="M278"/>
      <c r="N278"/>
    </row>
    <row r="279" spans="1:14" s="1" customFormat="1" x14ac:dyDescent="0.3">
      <c r="A279"/>
      <c r="B279"/>
      <c r="C279"/>
      <c r="D279"/>
      <c r="F279"/>
      <c r="G279"/>
      <c r="H279"/>
      <c r="I279"/>
      <c r="J279"/>
      <c r="K279"/>
      <c r="L279"/>
      <c r="M279"/>
      <c r="N279"/>
    </row>
    <row r="280" spans="1:14" s="1" customFormat="1" x14ac:dyDescent="0.3">
      <c r="A280"/>
      <c r="B280"/>
      <c r="C280"/>
      <c r="D280"/>
      <c r="F280"/>
      <c r="G280"/>
      <c r="H280"/>
      <c r="I280"/>
      <c r="J280"/>
      <c r="K280"/>
      <c r="L280"/>
      <c r="M280"/>
      <c r="N280"/>
    </row>
    <row r="281" spans="1:14" s="1" customFormat="1" x14ac:dyDescent="0.3">
      <c r="A281"/>
      <c r="B281"/>
      <c r="C281"/>
      <c r="D281"/>
      <c r="F281"/>
      <c r="G281"/>
      <c r="H281"/>
      <c r="I281"/>
      <c r="J281"/>
      <c r="K281"/>
      <c r="L281"/>
      <c r="M281"/>
      <c r="N281"/>
    </row>
    <row r="282" spans="1:14" s="1" customFormat="1" x14ac:dyDescent="0.3">
      <c r="A282"/>
      <c r="B282"/>
      <c r="C282"/>
      <c r="D282"/>
      <c r="F282"/>
      <c r="G282"/>
      <c r="H282"/>
      <c r="I282"/>
      <c r="J282"/>
      <c r="K282"/>
      <c r="L282"/>
      <c r="M282"/>
      <c r="N282"/>
    </row>
    <row r="283" spans="1:14" s="1" customFormat="1" x14ac:dyDescent="0.3">
      <c r="A283"/>
      <c r="B283"/>
      <c r="C283"/>
      <c r="D283"/>
      <c r="F283"/>
      <c r="G283"/>
      <c r="H283"/>
      <c r="I283"/>
      <c r="J283"/>
      <c r="K283"/>
      <c r="L283"/>
      <c r="M283"/>
      <c r="N283"/>
    </row>
    <row r="284" spans="1:14" s="1" customFormat="1" x14ac:dyDescent="0.3">
      <c r="A284"/>
      <c r="B284"/>
      <c r="C284"/>
      <c r="D284"/>
      <c r="F284"/>
      <c r="G284"/>
      <c r="H284"/>
      <c r="I284"/>
      <c r="J284"/>
      <c r="K284"/>
      <c r="L284"/>
      <c r="M284"/>
      <c r="N284"/>
    </row>
    <row r="285" spans="1:14" s="1" customFormat="1" x14ac:dyDescent="0.3">
      <c r="A285"/>
      <c r="B285"/>
      <c r="C285"/>
      <c r="D285"/>
      <c r="F285"/>
      <c r="G285"/>
      <c r="H285"/>
      <c r="I285"/>
      <c r="J285"/>
      <c r="K285"/>
      <c r="L285"/>
      <c r="M285"/>
      <c r="N285"/>
    </row>
    <row r="286" spans="1:14" s="1" customFormat="1" x14ac:dyDescent="0.3">
      <c r="A286"/>
      <c r="B286"/>
      <c r="C286"/>
      <c r="D286"/>
      <c r="F286"/>
      <c r="G286"/>
      <c r="H286"/>
      <c r="I286"/>
      <c r="J286"/>
      <c r="K286"/>
      <c r="L286"/>
      <c r="M286"/>
      <c r="N286"/>
    </row>
    <row r="287" spans="1:14" s="1" customFormat="1" x14ac:dyDescent="0.3">
      <c r="A287"/>
      <c r="B287"/>
      <c r="C287"/>
      <c r="D287"/>
      <c r="F287"/>
      <c r="G287"/>
      <c r="H287"/>
      <c r="I287"/>
      <c r="J287"/>
      <c r="K287"/>
      <c r="L287"/>
      <c r="M287"/>
      <c r="N287"/>
    </row>
    <row r="288" spans="1:14" s="1" customFormat="1" x14ac:dyDescent="0.3">
      <c r="A288"/>
      <c r="B288"/>
      <c r="C288"/>
      <c r="D288"/>
      <c r="F288"/>
      <c r="G288"/>
      <c r="H288"/>
      <c r="I288"/>
      <c r="J288"/>
      <c r="K288"/>
      <c r="L288"/>
      <c r="M288"/>
      <c r="N288"/>
    </row>
    <row r="289" spans="1:14" s="1" customFormat="1" x14ac:dyDescent="0.3">
      <c r="A289"/>
      <c r="B289"/>
      <c r="C289"/>
      <c r="D289"/>
      <c r="F289"/>
      <c r="G289"/>
      <c r="H289"/>
      <c r="I289"/>
      <c r="J289"/>
      <c r="K289"/>
      <c r="L289"/>
      <c r="M289"/>
      <c r="N289"/>
    </row>
    <row r="290" spans="1:14" s="1" customFormat="1" x14ac:dyDescent="0.3">
      <c r="A290"/>
      <c r="B290"/>
      <c r="C290"/>
      <c r="D290"/>
      <c r="F290"/>
      <c r="G290"/>
      <c r="H290"/>
      <c r="I290"/>
      <c r="J290"/>
      <c r="K290"/>
      <c r="L290"/>
      <c r="M290"/>
      <c r="N290"/>
    </row>
    <row r="291" spans="1:14" s="1" customFormat="1" x14ac:dyDescent="0.3">
      <c r="A291"/>
      <c r="B291"/>
      <c r="C291"/>
      <c r="D291"/>
      <c r="F291"/>
      <c r="G291"/>
      <c r="H291"/>
      <c r="I291"/>
      <c r="J291"/>
      <c r="K291"/>
      <c r="L291"/>
      <c r="M291"/>
      <c r="N291"/>
    </row>
    <row r="292" spans="1:14" s="1" customFormat="1" x14ac:dyDescent="0.3">
      <c r="A292"/>
      <c r="B292"/>
      <c r="C292"/>
      <c r="D292"/>
      <c r="F292"/>
      <c r="G292"/>
      <c r="H292"/>
      <c r="I292"/>
      <c r="J292"/>
      <c r="K292"/>
      <c r="L292"/>
      <c r="M292"/>
      <c r="N292"/>
    </row>
    <row r="293" spans="1:14" s="1" customFormat="1" x14ac:dyDescent="0.3">
      <c r="A293"/>
      <c r="B293"/>
      <c r="C293"/>
      <c r="D293"/>
      <c r="F293"/>
      <c r="G293"/>
      <c r="H293"/>
      <c r="I293"/>
      <c r="J293"/>
      <c r="K293"/>
      <c r="L293"/>
      <c r="M293"/>
      <c r="N293"/>
    </row>
    <row r="294" spans="1:14" s="1" customFormat="1" x14ac:dyDescent="0.3">
      <c r="A294"/>
      <c r="B294"/>
      <c r="C294"/>
      <c r="D294"/>
      <c r="F294"/>
      <c r="G294"/>
      <c r="H294"/>
      <c r="I294"/>
      <c r="J294"/>
      <c r="K294"/>
      <c r="L294"/>
      <c r="M294"/>
      <c r="N294"/>
    </row>
    <row r="295" spans="1:14" s="1" customFormat="1" x14ac:dyDescent="0.3">
      <c r="A295"/>
      <c r="B295"/>
      <c r="C295"/>
      <c r="D295"/>
      <c r="F295"/>
      <c r="G295"/>
      <c r="H295"/>
      <c r="I295"/>
      <c r="J295"/>
      <c r="K295"/>
      <c r="L295"/>
      <c r="M295"/>
      <c r="N295"/>
    </row>
    <row r="296" spans="1:14" s="1" customFormat="1" x14ac:dyDescent="0.3">
      <c r="A296"/>
      <c r="B296"/>
      <c r="C296"/>
      <c r="D296"/>
      <c r="F296"/>
      <c r="G296"/>
      <c r="H296"/>
      <c r="I296"/>
      <c r="J296"/>
      <c r="K296"/>
      <c r="L296"/>
      <c r="M296"/>
      <c r="N296"/>
    </row>
    <row r="297" spans="1:14" s="1" customFormat="1" x14ac:dyDescent="0.3">
      <c r="A297"/>
      <c r="B297"/>
      <c r="C297"/>
      <c r="D297"/>
      <c r="F297"/>
      <c r="G297"/>
      <c r="H297"/>
      <c r="I297"/>
      <c r="J297"/>
      <c r="K297"/>
      <c r="L297"/>
      <c r="M297"/>
      <c r="N297"/>
    </row>
    <row r="298" spans="1:14" s="1" customFormat="1" x14ac:dyDescent="0.3">
      <c r="A298"/>
      <c r="B298"/>
      <c r="C298"/>
      <c r="D298"/>
      <c r="F298"/>
      <c r="G298"/>
      <c r="H298"/>
      <c r="I298"/>
      <c r="J298"/>
      <c r="K298"/>
      <c r="L298"/>
      <c r="M298"/>
      <c r="N298"/>
    </row>
    <row r="299" spans="1:14" s="1" customFormat="1" x14ac:dyDescent="0.3">
      <c r="A299"/>
      <c r="B299"/>
      <c r="C299"/>
      <c r="D299"/>
      <c r="F299"/>
      <c r="G299"/>
      <c r="H299"/>
      <c r="I299"/>
      <c r="J299"/>
      <c r="K299"/>
      <c r="L299"/>
      <c r="M299"/>
      <c r="N299"/>
    </row>
    <row r="300" spans="1:14" s="1" customFormat="1" x14ac:dyDescent="0.3">
      <c r="A300"/>
      <c r="B300"/>
      <c r="C300"/>
      <c r="D300"/>
      <c r="F300"/>
      <c r="G300"/>
      <c r="H300"/>
      <c r="I300"/>
      <c r="J300"/>
      <c r="K300"/>
      <c r="L300"/>
      <c r="M300"/>
      <c r="N300"/>
    </row>
    <row r="301" spans="1:14" s="1" customFormat="1" x14ac:dyDescent="0.3">
      <c r="A301"/>
      <c r="B301"/>
      <c r="C301"/>
      <c r="D301"/>
      <c r="F301"/>
      <c r="G301"/>
      <c r="H301"/>
      <c r="I301"/>
      <c r="J301"/>
      <c r="K301"/>
      <c r="L301"/>
      <c r="M301"/>
      <c r="N301"/>
    </row>
    <row r="302" spans="1:14" s="1" customFormat="1" x14ac:dyDescent="0.3">
      <c r="A302"/>
      <c r="B302"/>
      <c r="C302"/>
      <c r="D302"/>
      <c r="F302"/>
      <c r="G302"/>
      <c r="H302"/>
      <c r="I302"/>
      <c r="J302"/>
      <c r="K302"/>
      <c r="L302"/>
      <c r="M302"/>
      <c r="N302"/>
    </row>
    <row r="303" spans="1:14" s="1" customFormat="1" x14ac:dyDescent="0.3">
      <c r="A303"/>
      <c r="B303"/>
      <c r="C303"/>
      <c r="D303"/>
      <c r="F303"/>
      <c r="G303"/>
      <c r="H303"/>
      <c r="I303"/>
      <c r="J303"/>
      <c r="K303"/>
      <c r="L303"/>
      <c r="M303"/>
      <c r="N303"/>
    </row>
    <row r="304" spans="1:14" s="1" customFormat="1" x14ac:dyDescent="0.3">
      <c r="A304"/>
      <c r="B304"/>
      <c r="C304"/>
      <c r="D304"/>
      <c r="F304"/>
      <c r="G304"/>
      <c r="H304"/>
      <c r="I304"/>
      <c r="J304"/>
      <c r="K304"/>
      <c r="L304"/>
      <c r="M304"/>
      <c r="N304"/>
    </row>
    <row r="305" spans="1:14" s="1" customFormat="1" x14ac:dyDescent="0.3">
      <c r="A305"/>
      <c r="B305"/>
      <c r="C305"/>
      <c r="D305"/>
      <c r="F305"/>
      <c r="G305"/>
      <c r="H305"/>
      <c r="I305"/>
      <c r="J305"/>
      <c r="K305"/>
      <c r="L305"/>
      <c r="M305"/>
      <c r="N305"/>
    </row>
    <row r="306" spans="1:14" s="1" customFormat="1" x14ac:dyDescent="0.3">
      <c r="A306"/>
      <c r="B306"/>
      <c r="C306"/>
      <c r="D306"/>
      <c r="F306"/>
      <c r="G306"/>
      <c r="H306"/>
      <c r="I306"/>
      <c r="J306"/>
      <c r="K306"/>
      <c r="L306"/>
      <c r="M306"/>
      <c r="N306"/>
    </row>
    <row r="307" spans="1:14" s="1" customFormat="1" x14ac:dyDescent="0.3">
      <c r="A307"/>
      <c r="B307"/>
      <c r="C307"/>
      <c r="D307"/>
      <c r="F307"/>
      <c r="G307"/>
      <c r="H307"/>
      <c r="I307"/>
      <c r="J307"/>
      <c r="K307"/>
      <c r="L307"/>
      <c r="M307"/>
      <c r="N307"/>
    </row>
    <row r="308" spans="1:14" s="1" customFormat="1" x14ac:dyDescent="0.3">
      <c r="A308"/>
      <c r="B308"/>
      <c r="C308"/>
      <c r="D308"/>
      <c r="F308"/>
      <c r="G308"/>
      <c r="H308"/>
      <c r="I308"/>
      <c r="J308"/>
      <c r="K308"/>
      <c r="L308"/>
      <c r="M308"/>
      <c r="N308"/>
    </row>
    <row r="309" spans="1:14" s="1" customFormat="1" x14ac:dyDescent="0.3">
      <c r="A309"/>
      <c r="B309"/>
      <c r="C309"/>
      <c r="D309"/>
      <c r="F309"/>
      <c r="G309"/>
      <c r="H309"/>
      <c r="I309"/>
      <c r="J309"/>
      <c r="K309"/>
      <c r="L309"/>
      <c r="M309"/>
      <c r="N309"/>
    </row>
    <row r="310" spans="1:14" s="1" customFormat="1" x14ac:dyDescent="0.3">
      <c r="A310"/>
      <c r="B310"/>
      <c r="C310"/>
      <c r="D310"/>
      <c r="F310"/>
      <c r="G310"/>
      <c r="H310"/>
      <c r="I310"/>
      <c r="J310"/>
      <c r="K310"/>
      <c r="L310"/>
      <c r="M310"/>
      <c r="N310"/>
    </row>
    <row r="311" spans="1:14" s="1" customFormat="1" x14ac:dyDescent="0.3">
      <c r="A311"/>
      <c r="B311"/>
      <c r="C311"/>
      <c r="D311"/>
      <c r="F311"/>
      <c r="G311"/>
      <c r="H311"/>
      <c r="I311"/>
      <c r="J311"/>
      <c r="K311"/>
      <c r="L311"/>
      <c r="M311"/>
      <c r="N311"/>
    </row>
    <row r="312" spans="1:14" s="1" customFormat="1" x14ac:dyDescent="0.3">
      <c r="A312"/>
      <c r="B312"/>
      <c r="C312"/>
      <c r="D312"/>
      <c r="F312"/>
      <c r="G312"/>
      <c r="H312"/>
      <c r="I312"/>
      <c r="J312"/>
      <c r="K312"/>
      <c r="L312"/>
      <c r="M312"/>
      <c r="N312"/>
    </row>
    <row r="313" spans="1:14" s="1" customFormat="1" x14ac:dyDescent="0.3">
      <c r="A313"/>
      <c r="B313"/>
      <c r="C313"/>
      <c r="D313"/>
      <c r="F313"/>
      <c r="G313"/>
      <c r="H313"/>
      <c r="I313"/>
      <c r="J313"/>
      <c r="K313"/>
      <c r="L313"/>
      <c r="M313"/>
      <c r="N313"/>
    </row>
    <row r="314" spans="1:14" s="1" customFormat="1" x14ac:dyDescent="0.3">
      <c r="A314"/>
      <c r="B314"/>
      <c r="C314"/>
      <c r="D314"/>
      <c r="F314"/>
      <c r="G314"/>
      <c r="H314"/>
      <c r="I314"/>
      <c r="J314"/>
      <c r="K314"/>
      <c r="L314"/>
      <c r="M314"/>
      <c r="N314"/>
    </row>
    <row r="315" spans="1:14" s="1" customFormat="1" x14ac:dyDescent="0.3">
      <c r="A315"/>
      <c r="B315"/>
      <c r="C315"/>
      <c r="D315"/>
      <c r="F315"/>
      <c r="G315"/>
      <c r="H315"/>
      <c r="I315"/>
      <c r="J315"/>
      <c r="K315"/>
      <c r="L315"/>
      <c r="M315"/>
      <c r="N315"/>
    </row>
    <row r="316" spans="1:14" s="1" customFormat="1" x14ac:dyDescent="0.3">
      <c r="A316"/>
      <c r="B316"/>
      <c r="C316"/>
      <c r="D316"/>
      <c r="F316"/>
      <c r="G316"/>
      <c r="H316"/>
      <c r="I316"/>
      <c r="J316"/>
      <c r="K316"/>
      <c r="L316"/>
      <c r="M316"/>
      <c r="N316"/>
    </row>
    <row r="317" spans="1:14" s="1" customFormat="1" x14ac:dyDescent="0.3">
      <c r="A317"/>
      <c r="B317"/>
      <c r="C317"/>
      <c r="D317"/>
      <c r="F317"/>
      <c r="G317"/>
      <c r="H317"/>
      <c r="I317"/>
      <c r="J317"/>
      <c r="K317"/>
      <c r="L317"/>
      <c r="M317"/>
      <c r="N317"/>
    </row>
    <row r="318" spans="1:14" s="1" customFormat="1" x14ac:dyDescent="0.3">
      <c r="A318"/>
      <c r="B318"/>
      <c r="C318"/>
      <c r="D318"/>
      <c r="F318"/>
      <c r="G318"/>
      <c r="H318"/>
      <c r="I318"/>
      <c r="J318"/>
      <c r="K318"/>
      <c r="L318"/>
      <c r="M318"/>
      <c r="N318"/>
    </row>
    <row r="319" spans="1:14" s="1" customFormat="1" x14ac:dyDescent="0.3">
      <c r="A319"/>
      <c r="B319"/>
      <c r="C319"/>
      <c r="D319"/>
      <c r="F319"/>
      <c r="G319"/>
      <c r="H319"/>
      <c r="I319"/>
      <c r="J319"/>
      <c r="K319"/>
      <c r="L319"/>
      <c r="M319"/>
      <c r="N319"/>
    </row>
    <row r="320" spans="1:14" s="1" customFormat="1" x14ac:dyDescent="0.3">
      <c r="A320"/>
      <c r="B320"/>
      <c r="C320"/>
      <c r="D320"/>
      <c r="F320"/>
      <c r="G320"/>
      <c r="H320"/>
      <c r="I320"/>
      <c r="J320"/>
      <c r="K320"/>
      <c r="L320"/>
      <c r="M320"/>
      <c r="N320"/>
    </row>
    <row r="321" spans="1:14" s="1" customFormat="1" x14ac:dyDescent="0.3">
      <c r="A321"/>
      <c r="B321"/>
      <c r="C321"/>
      <c r="D321"/>
      <c r="F321"/>
      <c r="G321"/>
      <c r="H321"/>
      <c r="I321"/>
      <c r="J321"/>
      <c r="K321"/>
      <c r="L321"/>
      <c r="M321"/>
      <c r="N321"/>
    </row>
    <row r="322" spans="1:14" s="1" customFormat="1" x14ac:dyDescent="0.3">
      <c r="A322"/>
      <c r="B322"/>
      <c r="C322"/>
      <c r="D322"/>
      <c r="F322"/>
      <c r="G322"/>
      <c r="H322"/>
      <c r="I322"/>
      <c r="J322"/>
      <c r="K322"/>
      <c r="L322"/>
      <c r="M322"/>
      <c r="N322"/>
    </row>
    <row r="323" spans="1:14" s="1" customFormat="1" x14ac:dyDescent="0.3">
      <c r="A323"/>
      <c r="B323"/>
      <c r="C323"/>
      <c r="D323"/>
      <c r="F323"/>
      <c r="G323"/>
      <c r="H323"/>
      <c r="I323"/>
      <c r="J323"/>
      <c r="K323"/>
      <c r="L323"/>
      <c r="M323"/>
      <c r="N323"/>
    </row>
    <row r="324" spans="1:14" s="1" customFormat="1" x14ac:dyDescent="0.3">
      <c r="A324"/>
      <c r="B324"/>
      <c r="C324"/>
      <c r="D324"/>
      <c r="F324"/>
      <c r="G324"/>
      <c r="H324"/>
      <c r="I324"/>
      <c r="J324"/>
      <c r="K324"/>
      <c r="L324"/>
      <c r="M324"/>
      <c r="N324"/>
    </row>
    <row r="325" spans="1:14" s="1" customFormat="1" x14ac:dyDescent="0.3">
      <c r="A325"/>
      <c r="B325"/>
      <c r="C325"/>
      <c r="D325"/>
      <c r="F325"/>
      <c r="G325"/>
      <c r="H325"/>
      <c r="I325"/>
      <c r="J325"/>
      <c r="K325"/>
      <c r="L325"/>
      <c r="M325"/>
      <c r="N325"/>
    </row>
    <row r="326" spans="1:14" s="1" customFormat="1" x14ac:dyDescent="0.3">
      <c r="A326"/>
      <c r="B326"/>
      <c r="C326"/>
      <c r="D326"/>
      <c r="F326"/>
      <c r="G326"/>
      <c r="H326"/>
      <c r="I326"/>
      <c r="J326"/>
      <c r="K326"/>
      <c r="L326"/>
      <c r="M326"/>
      <c r="N326"/>
    </row>
    <row r="327" spans="1:14" s="1" customFormat="1" x14ac:dyDescent="0.3">
      <c r="A327"/>
      <c r="B327"/>
      <c r="C327"/>
      <c r="D327"/>
      <c r="F327"/>
      <c r="G327"/>
      <c r="H327"/>
      <c r="I327"/>
      <c r="J327"/>
      <c r="K327"/>
      <c r="L327"/>
      <c r="M327"/>
      <c r="N327"/>
    </row>
    <row r="328" spans="1:14" s="1" customFormat="1" x14ac:dyDescent="0.3">
      <c r="A328"/>
      <c r="B328"/>
      <c r="C328"/>
      <c r="D328"/>
      <c r="F328"/>
      <c r="G328"/>
      <c r="H328"/>
      <c r="I328"/>
      <c r="J328"/>
      <c r="K328"/>
      <c r="L328"/>
      <c r="M328"/>
      <c r="N328"/>
    </row>
    <row r="329" spans="1:14" s="1" customFormat="1" x14ac:dyDescent="0.3">
      <c r="A329"/>
      <c r="B329"/>
      <c r="C329"/>
      <c r="D329"/>
      <c r="F329"/>
      <c r="G329"/>
      <c r="H329"/>
      <c r="I329"/>
      <c r="J329"/>
      <c r="K329"/>
      <c r="L329"/>
      <c r="M329"/>
      <c r="N329"/>
    </row>
    <row r="330" spans="1:14" s="1" customFormat="1" x14ac:dyDescent="0.3">
      <c r="A330"/>
      <c r="B330"/>
      <c r="C330"/>
      <c r="D330"/>
      <c r="F330"/>
      <c r="G330"/>
      <c r="H330"/>
      <c r="I330"/>
      <c r="J330"/>
      <c r="K330"/>
      <c r="L330"/>
      <c r="M330"/>
      <c r="N330"/>
    </row>
    <row r="331" spans="1:14" s="1" customFormat="1" x14ac:dyDescent="0.3">
      <c r="A331"/>
      <c r="B331"/>
      <c r="C331"/>
      <c r="D331"/>
      <c r="F331"/>
      <c r="G331"/>
      <c r="H331"/>
      <c r="I331"/>
      <c r="J331"/>
      <c r="K331"/>
      <c r="L331"/>
      <c r="M331"/>
      <c r="N331"/>
    </row>
    <row r="332" spans="1:14" s="1" customFormat="1" x14ac:dyDescent="0.3">
      <c r="A332"/>
      <c r="B332"/>
      <c r="C332"/>
      <c r="D332"/>
      <c r="F332"/>
      <c r="G332"/>
      <c r="H332"/>
      <c r="I332"/>
      <c r="J332"/>
      <c r="K332"/>
      <c r="L332"/>
      <c r="M332"/>
      <c r="N332"/>
    </row>
    <row r="333" spans="1:14" s="1" customFormat="1" x14ac:dyDescent="0.3">
      <c r="A333"/>
      <c r="B333"/>
      <c r="C333"/>
      <c r="D333"/>
      <c r="F333"/>
      <c r="G333"/>
      <c r="H333"/>
      <c r="I333"/>
      <c r="J333"/>
      <c r="K333"/>
      <c r="L333"/>
      <c r="M333"/>
      <c r="N333"/>
    </row>
    <row r="334" spans="1:14" s="1" customFormat="1" x14ac:dyDescent="0.3">
      <c r="A334"/>
      <c r="B334"/>
      <c r="C334"/>
      <c r="D334"/>
      <c r="F334"/>
      <c r="G334"/>
      <c r="H334"/>
      <c r="I334"/>
      <c r="J334"/>
      <c r="K334"/>
      <c r="L334"/>
      <c r="M334"/>
      <c r="N334"/>
    </row>
    <row r="335" spans="1:14" s="1" customFormat="1" x14ac:dyDescent="0.3">
      <c r="A335"/>
      <c r="B335"/>
      <c r="C335"/>
      <c r="D335"/>
      <c r="F335"/>
      <c r="G335"/>
      <c r="H335"/>
      <c r="I335"/>
      <c r="J335"/>
      <c r="K335"/>
      <c r="L335"/>
      <c r="M335"/>
      <c r="N335"/>
    </row>
    <row r="336" spans="1:14" s="1" customFormat="1" x14ac:dyDescent="0.3">
      <c r="A336"/>
      <c r="B336"/>
      <c r="C336"/>
      <c r="D336"/>
      <c r="F336"/>
      <c r="G336"/>
      <c r="H336"/>
      <c r="I336"/>
      <c r="J336"/>
      <c r="K336"/>
      <c r="L336"/>
      <c r="M336"/>
      <c r="N336"/>
    </row>
    <row r="337" spans="1:14" s="1" customFormat="1" x14ac:dyDescent="0.3">
      <c r="A337"/>
      <c r="B337"/>
      <c r="C337"/>
      <c r="D337"/>
      <c r="F337"/>
      <c r="G337"/>
      <c r="H337"/>
      <c r="I337"/>
      <c r="J337"/>
      <c r="K337"/>
      <c r="L337"/>
      <c r="M337"/>
      <c r="N337"/>
    </row>
    <row r="338" spans="1:14" s="1" customFormat="1" x14ac:dyDescent="0.3">
      <c r="A338"/>
      <c r="B338"/>
      <c r="C338"/>
      <c r="D338"/>
      <c r="F338"/>
      <c r="G338"/>
      <c r="H338"/>
      <c r="I338"/>
      <c r="J338"/>
      <c r="K338"/>
      <c r="L338"/>
      <c r="M338"/>
      <c r="N338"/>
    </row>
    <row r="339" spans="1:14" s="1" customFormat="1" x14ac:dyDescent="0.3">
      <c r="A339"/>
      <c r="B339"/>
      <c r="C339"/>
      <c r="D339"/>
      <c r="F339"/>
      <c r="G339"/>
      <c r="H339"/>
      <c r="I339"/>
      <c r="J339"/>
      <c r="K339"/>
      <c r="L339"/>
      <c r="M339"/>
      <c r="N339"/>
    </row>
    <row r="340" spans="1:14" s="1" customFormat="1" x14ac:dyDescent="0.3">
      <c r="A340"/>
      <c r="B340"/>
      <c r="C340"/>
      <c r="D340"/>
      <c r="F340"/>
      <c r="G340"/>
      <c r="H340"/>
      <c r="I340"/>
      <c r="J340"/>
      <c r="K340"/>
      <c r="L340"/>
      <c r="M340"/>
      <c r="N340"/>
    </row>
    <row r="341" spans="1:14" s="1" customFormat="1" x14ac:dyDescent="0.3">
      <c r="A341"/>
      <c r="B341"/>
      <c r="C341"/>
      <c r="D341"/>
      <c r="F341"/>
      <c r="G341"/>
      <c r="H341"/>
      <c r="I341"/>
      <c r="J341"/>
      <c r="K341"/>
      <c r="L341"/>
      <c r="M341"/>
      <c r="N341"/>
    </row>
    <row r="342" spans="1:14" s="1" customFormat="1" x14ac:dyDescent="0.3">
      <c r="A342"/>
      <c r="B342"/>
      <c r="C342"/>
      <c r="D342"/>
      <c r="F342"/>
      <c r="G342"/>
      <c r="H342"/>
      <c r="I342"/>
      <c r="J342"/>
      <c r="K342"/>
      <c r="L342"/>
      <c r="M342"/>
      <c r="N342"/>
    </row>
    <row r="343" spans="1:14" s="1" customFormat="1" x14ac:dyDescent="0.3">
      <c r="A343"/>
      <c r="B343"/>
      <c r="C343"/>
      <c r="D343"/>
      <c r="F343"/>
      <c r="G343"/>
      <c r="H343"/>
      <c r="I343"/>
      <c r="J343"/>
      <c r="K343"/>
      <c r="L343"/>
      <c r="M343"/>
      <c r="N343"/>
    </row>
    <row r="344" spans="1:14" s="1" customFormat="1" x14ac:dyDescent="0.3">
      <c r="A344"/>
      <c r="B344"/>
      <c r="C344"/>
      <c r="D344"/>
      <c r="F344"/>
      <c r="G344"/>
      <c r="H344"/>
      <c r="I344"/>
      <c r="J344"/>
      <c r="K344"/>
      <c r="L344"/>
      <c r="M344"/>
      <c r="N344"/>
    </row>
    <row r="345" spans="1:14" s="1" customFormat="1" x14ac:dyDescent="0.3">
      <c r="A345"/>
      <c r="B345"/>
      <c r="C345"/>
      <c r="D345"/>
      <c r="F345"/>
      <c r="G345"/>
      <c r="H345"/>
      <c r="I345"/>
      <c r="J345"/>
      <c r="K345"/>
      <c r="L345"/>
      <c r="M345"/>
      <c r="N345"/>
    </row>
    <row r="346" spans="1:14" s="1" customFormat="1" x14ac:dyDescent="0.3">
      <c r="A346"/>
      <c r="B346"/>
      <c r="C346"/>
      <c r="D346"/>
      <c r="F346"/>
      <c r="G346"/>
      <c r="H346"/>
      <c r="I346"/>
      <c r="J346"/>
      <c r="K346"/>
      <c r="L346"/>
      <c r="M346"/>
      <c r="N346"/>
    </row>
    <row r="347" spans="1:14" s="1" customFormat="1" x14ac:dyDescent="0.3">
      <c r="A347"/>
      <c r="B347"/>
      <c r="C347"/>
      <c r="D347"/>
      <c r="F347"/>
      <c r="G347"/>
      <c r="H347"/>
      <c r="I347"/>
      <c r="J347"/>
      <c r="K347"/>
      <c r="L347"/>
      <c r="M347"/>
      <c r="N347"/>
    </row>
    <row r="348" spans="1:14" s="1" customFormat="1" x14ac:dyDescent="0.3">
      <c r="A348"/>
      <c r="B348"/>
      <c r="C348"/>
      <c r="D348"/>
      <c r="F348"/>
      <c r="G348"/>
      <c r="H348"/>
      <c r="I348"/>
      <c r="J348"/>
      <c r="K348"/>
      <c r="L348"/>
      <c r="M348"/>
      <c r="N348"/>
    </row>
    <row r="349" spans="1:14" s="1" customFormat="1" x14ac:dyDescent="0.3">
      <c r="A349"/>
      <c r="B349"/>
      <c r="C349"/>
      <c r="D349"/>
      <c r="F349"/>
      <c r="G349"/>
      <c r="H349"/>
      <c r="I349"/>
      <c r="J349"/>
      <c r="K349"/>
      <c r="L349"/>
      <c r="M349"/>
      <c r="N349"/>
    </row>
    <row r="350" spans="1:14" s="1" customFormat="1" x14ac:dyDescent="0.3">
      <c r="A350"/>
      <c r="B350"/>
      <c r="C350"/>
      <c r="D350"/>
      <c r="F350"/>
      <c r="G350"/>
      <c r="H350"/>
      <c r="I350"/>
      <c r="J350"/>
      <c r="K350"/>
      <c r="L350"/>
      <c r="M350"/>
      <c r="N350"/>
    </row>
    <row r="351" spans="1:14" s="1" customFormat="1" x14ac:dyDescent="0.3">
      <c r="A351"/>
      <c r="B351"/>
      <c r="C351"/>
      <c r="D351"/>
      <c r="F351"/>
      <c r="G351"/>
      <c r="H351"/>
      <c r="I351"/>
      <c r="J351"/>
      <c r="K351"/>
      <c r="L351"/>
      <c r="M351"/>
      <c r="N351"/>
    </row>
    <row r="352" spans="1:14" s="1" customFormat="1" x14ac:dyDescent="0.3">
      <c r="A352"/>
      <c r="B352"/>
      <c r="C352"/>
      <c r="D352"/>
      <c r="F352"/>
      <c r="G352"/>
      <c r="H352"/>
      <c r="I352"/>
      <c r="J352"/>
      <c r="K352"/>
      <c r="L352"/>
      <c r="M352"/>
      <c r="N352"/>
    </row>
    <row r="353" spans="1:14" s="1" customFormat="1" x14ac:dyDescent="0.3">
      <c r="A353"/>
      <c r="B353"/>
      <c r="C353"/>
      <c r="D353"/>
      <c r="F353"/>
      <c r="G353"/>
      <c r="H353"/>
      <c r="I353"/>
      <c r="J353"/>
      <c r="K353"/>
      <c r="L353"/>
      <c r="M353"/>
      <c r="N353"/>
    </row>
    <row r="354" spans="1:14" s="1" customFormat="1" x14ac:dyDescent="0.3">
      <c r="A354"/>
      <c r="B354"/>
      <c r="C354"/>
      <c r="D354"/>
      <c r="F354"/>
      <c r="G354"/>
      <c r="H354"/>
      <c r="I354"/>
      <c r="J354"/>
      <c r="K354"/>
      <c r="L354"/>
      <c r="M354"/>
      <c r="N354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wVInlI82nU5QaPo9/h2DIDHCTesM/Srw1ZS71bG+1Dg2pfeMFEUqs2aIYZaGo0+dbcEwfFQ0/OuSpe7w6JMSJw==" saltValue="MsNQsbQQ3uo66605ACgnIw==" spinCount="100000" sqref="D4:K15" name="Setor_financeiro"/>
    <protectedRange algorithmName="SHA-512" hashValue="/Pe6clVOqGuUW8/y7XkHWz8nZHZ/QOrdLDQKB9wg2rCB/s/uD7UnvWHKCux4lL3T5Fx3xMXirxnXKJCdDQJ0gQ==" saltValue="pJGE08tHf17r7nyYyfL6Gg==" spinCount="100000" sqref="A4:C15" name="Setor_de_cadastro"/>
  </protectedRanges>
  <sortState xmlns:xlrd2="http://schemas.microsoft.com/office/spreadsheetml/2017/richdata2" ref="A5:F15">
    <sortCondition ref="A5:A15"/>
  </sortState>
  <mergeCells count="3">
    <mergeCell ref="A3:F3"/>
    <mergeCell ref="H1:K3"/>
    <mergeCell ref="A1:G2"/>
  </mergeCells>
  <phoneticPr fontId="9" type="noConversion"/>
  <conditionalFormatting sqref="A5:F15">
    <cfRule type="expression" dxfId="10" priority="8" stopIfTrue="1">
      <formula>"se(I5:I17;""Vencida"")"</formula>
    </cfRule>
  </conditionalFormatting>
  <conditionalFormatting sqref="G5:G15">
    <cfRule type="expression" dxfId="9" priority="5" stopIfTrue="1">
      <formula>"se(I5:I17;""Vencida"")"</formula>
    </cfRule>
  </conditionalFormatting>
  <conditionalFormatting sqref="H5:H15">
    <cfRule type="expression" dxfId="8" priority="4" stopIfTrue="1">
      <formula>"se(I5:I17;""Vencida"")"</formula>
    </cfRule>
  </conditionalFormatting>
  <conditionalFormatting sqref="I5:I15">
    <cfRule type="expression" dxfId="7" priority="3" stopIfTrue="1">
      <formula>"se(I5:I17;""Vencida"")"</formula>
    </cfRule>
  </conditionalFormatting>
  <conditionalFormatting sqref="J5:J15">
    <cfRule type="expression" dxfId="6" priority="2" stopIfTrue="1">
      <formula>"se(I5:I17;""Vencida"")"</formula>
    </cfRule>
  </conditionalFormatting>
  <conditionalFormatting sqref="K5:K15">
    <cfRule type="expression" dxfId="5" priority="1" stopIfTrue="1">
      <formula>"se(I5:I17;""Vencida"")"</formula>
    </cfRule>
  </conditionalFormatting>
  <printOptions horizontalCentered="1"/>
  <pageMargins left="0.51181102362204722" right="1.9275641025641026" top="1.2022435897435897" bottom="0.78740157480314965" header="0.78740157480314965" footer="0.31496062992125984"/>
  <pageSetup paperSize="9" scale="62" orientation="landscape" r:id="rId1"/>
  <headerFooter>
    <oddHeader>&amp;C&amp;"Arial,Normal"&amp;36FATURAS RECEBIDAS&amp;"-,Regular"&amp;11
&amp;RPágina &amp;P de 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00B35-2445-41DD-AC21-60BB8CCB1A20}">
  <dimension ref="A1:K45"/>
  <sheetViews>
    <sheetView workbookViewId="0">
      <pane ySplit="1" topLeftCell="A8" activePane="bottomLeft" state="frozen"/>
      <selection pane="bottomLeft" activeCell="C5" sqref="C5"/>
    </sheetView>
  </sheetViews>
  <sheetFormatPr defaultRowHeight="14.4" x14ac:dyDescent="0.3"/>
  <cols>
    <col min="1" max="1" width="67.5546875" bestFit="1" customWidth="1"/>
    <col min="2" max="2" width="30.5546875" bestFit="1" customWidth="1"/>
    <col min="3" max="3" width="24.88671875" bestFit="1" customWidth="1"/>
    <col min="4" max="4" width="17.109375" bestFit="1" customWidth="1"/>
    <col min="5" max="5" width="13.33203125" bestFit="1" customWidth="1"/>
    <col min="6" max="6" width="34.109375" bestFit="1" customWidth="1"/>
  </cols>
  <sheetData>
    <row r="1" spans="1:11" ht="20.399999999999999" x14ac:dyDescent="0.3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16</v>
      </c>
    </row>
    <row r="2" spans="1:11" x14ac:dyDescent="0.3">
      <c r="A2" s="17" t="s">
        <v>28</v>
      </c>
      <c r="B2" s="17" t="s">
        <v>6</v>
      </c>
      <c r="C2" s="17" t="s">
        <v>7</v>
      </c>
      <c r="D2" s="18">
        <v>44265</v>
      </c>
      <c r="E2" s="19">
        <v>1027</v>
      </c>
      <c r="F2" s="20">
        <v>44187.354166666664</v>
      </c>
    </row>
    <row r="3" spans="1:11" x14ac:dyDescent="0.3">
      <c r="A3" s="4" t="s">
        <v>5</v>
      </c>
      <c r="B3" s="4" t="s">
        <v>6</v>
      </c>
      <c r="C3" s="4" t="s">
        <v>7</v>
      </c>
      <c r="D3" s="5">
        <v>44285</v>
      </c>
      <c r="E3" s="6">
        <v>1027</v>
      </c>
      <c r="F3" s="7">
        <v>44197.4375</v>
      </c>
    </row>
    <row r="4" spans="1:11" x14ac:dyDescent="0.3">
      <c r="A4" s="4" t="s">
        <v>8</v>
      </c>
      <c r="B4" s="4" t="s">
        <v>6</v>
      </c>
      <c r="C4" s="4" t="s">
        <v>7</v>
      </c>
      <c r="D4" s="5">
        <v>44277</v>
      </c>
      <c r="E4" s="6">
        <v>700</v>
      </c>
      <c r="F4" s="7">
        <v>44189.583333333336</v>
      </c>
    </row>
    <row r="5" spans="1:11" x14ac:dyDescent="0.3">
      <c r="A5" s="4" t="s">
        <v>15</v>
      </c>
      <c r="B5" s="4" t="s">
        <v>6</v>
      </c>
      <c r="C5" s="4" t="s">
        <v>7</v>
      </c>
      <c r="D5" s="5">
        <v>44299</v>
      </c>
      <c r="E5" s="6">
        <v>802</v>
      </c>
      <c r="F5" s="7">
        <v>44168.958333333336</v>
      </c>
    </row>
    <row r="6" spans="1:11" x14ac:dyDescent="0.3">
      <c r="A6" s="4" t="s">
        <v>15</v>
      </c>
      <c r="B6" s="4" t="s">
        <v>6</v>
      </c>
      <c r="C6" s="4" t="s">
        <v>7</v>
      </c>
      <c r="D6" s="5">
        <v>44278</v>
      </c>
      <c r="E6" s="6">
        <v>880.9</v>
      </c>
      <c r="F6" s="7">
        <v>44168.020833333336</v>
      </c>
    </row>
    <row r="7" spans="1:11" x14ac:dyDescent="0.3">
      <c r="A7" s="4" t="s">
        <v>10</v>
      </c>
      <c r="B7" s="4" t="s">
        <v>6</v>
      </c>
      <c r="C7" s="4" t="s">
        <v>7</v>
      </c>
      <c r="D7" s="5">
        <v>44285</v>
      </c>
      <c r="E7" s="6">
        <v>680</v>
      </c>
      <c r="F7" s="7">
        <v>44179.490972222222</v>
      </c>
    </row>
    <row r="8" spans="1:11" x14ac:dyDescent="0.3">
      <c r="A8" s="4" t="s">
        <v>11</v>
      </c>
      <c r="B8" s="4" t="s">
        <v>6</v>
      </c>
      <c r="C8" s="4" t="s">
        <v>7</v>
      </c>
      <c r="D8" s="5">
        <v>44207</v>
      </c>
      <c r="E8" s="6">
        <v>200</v>
      </c>
      <c r="F8" s="7">
        <v>44186.763888888891</v>
      </c>
    </row>
    <row r="9" spans="1:11" x14ac:dyDescent="0.3">
      <c r="A9" s="4" t="s">
        <v>11</v>
      </c>
      <c r="B9" s="4" t="s">
        <v>6</v>
      </c>
      <c r="C9" s="4" t="s">
        <v>7</v>
      </c>
      <c r="D9" s="5">
        <v>44221</v>
      </c>
      <c r="E9" s="6">
        <v>405</v>
      </c>
      <c r="F9" s="7">
        <v>44188.806944444441</v>
      </c>
    </row>
    <row r="10" spans="1:11" x14ac:dyDescent="0.3">
      <c r="A10" s="4" t="s">
        <v>5</v>
      </c>
      <c r="B10" s="4" t="s">
        <v>6</v>
      </c>
      <c r="C10" s="4" t="s">
        <v>7</v>
      </c>
      <c r="D10" s="5">
        <v>44207</v>
      </c>
      <c r="E10" s="6">
        <v>567</v>
      </c>
      <c r="F10" s="7">
        <v>44184.169444444444</v>
      </c>
    </row>
    <row r="11" spans="1:11" x14ac:dyDescent="0.3">
      <c r="A11" s="4" t="s">
        <v>13</v>
      </c>
      <c r="B11" s="4" t="s">
        <v>6</v>
      </c>
      <c r="C11" s="4" t="s">
        <v>14</v>
      </c>
      <c r="D11" s="5">
        <v>44214</v>
      </c>
      <c r="E11" s="6">
        <v>2193.34</v>
      </c>
      <c r="F11" s="7">
        <v>44193.135416666664</v>
      </c>
      <c r="K11" t="s">
        <v>30</v>
      </c>
    </row>
    <row r="12" spans="1:11" x14ac:dyDescent="0.3">
      <c r="A12" s="4" t="s">
        <v>13</v>
      </c>
      <c r="B12" s="4" t="s">
        <v>6</v>
      </c>
      <c r="C12" s="4" t="s">
        <v>14</v>
      </c>
      <c r="D12" s="5">
        <v>44261</v>
      </c>
      <c r="E12" s="6">
        <v>2193.33</v>
      </c>
      <c r="F12" s="7">
        <v>44171.135416666664</v>
      </c>
    </row>
    <row r="13" spans="1:11" x14ac:dyDescent="0.3">
      <c r="A13" s="4" t="s">
        <v>28</v>
      </c>
      <c r="B13" s="4" t="s">
        <v>6</v>
      </c>
      <c r="C13" s="4" t="s">
        <v>7</v>
      </c>
      <c r="D13" s="5">
        <v>44265</v>
      </c>
      <c r="E13" s="6">
        <v>1027</v>
      </c>
      <c r="F13" s="7">
        <v>44187.354166666664</v>
      </c>
    </row>
    <row r="14" spans="1:11" x14ac:dyDescent="0.3">
      <c r="A14" s="4" t="s">
        <v>5</v>
      </c>
      <c r="B14" s="4" t="s">
        <v>6</v>
      </c>
      <c r="C14" s="4" t="s">
        <v>7</v>
      </c>
      <c r="D14" s="5">
        <v>44285</v>
      </c>
      <c r="E14" s="6">
        <v>1027</v>
      </c>
      <c r="F14" s="7">
        <v>44197.4375</v>
      </c>
    </row>
    <row r="15" spans="1:11" x14ac:dyDescent="0.3">
      <c r="A15" s="4" t="s">
        <v>8</v>
      </c>
      <c r="B15" s="4" t="s">
        <v>6</v>
      </c>
      <c r="C15" s="4" t="s">
        <v>7</v>
      </c>
      <c r="D15" s="5">
        <v>44277</v>
      </c>
      <c r="E15" s="6">
        <v>700</v>
      </c>
      <c r="F15" s="7">
        <v>44189.583333333336</v>
      </c>
    </row>
    <row r="16" spans="1:11" x14ac:dyDescent="0.3">
      <c r="A16" s="4" t="s">
        <v>15</v>
      </c>
      <c r="B16" s="4" t="s">
        <v>6</v>
      </c>
      <c r="C16" s="4" t="s">
        <v>7</v>
      </c>
      <c r="D16" s="5">
        <v>44299</v>
      </c>
      <c r="E16" s="6">
        <v>802</v>
      </c>
      <c r="F16" s="7">
        <v>44168.958333333336</v>
      </c>
    </row>
    <row r="17" spans="1:6" x14ac:dyDescent="0.3">
      <c r="A17" s="4" t="s">
        <v>15</v>
      </c>
      <c r="B17" s="4" t="s">
        <v>6</v>
      </c>
      <c r="C17" s="4" t="s">
        <v>7</v>
      </c>
      <c r="D17" s="5">
        <v>44278</v>
      </c>
      <c r="E17" s="6">
        <v>880.9</v>
      </c>
      <c r="F17" s="7">
        <v>44168.020833333336</v>
      </c>
    </row>
    <row r="18" spans="1:6" x14ac:dyDescent="0.3">
      <c r="A18" s="4" t="s">
        <v>10</v>
      </c>
      <c r="B18" s="4" t="s">
        <v>6</v>
      </c>
      <c r="C18" s="4" t="s">
        <v>7</v>
      </c>
      <c r="D18" s="5">
        <v>44285</v>
      </c>
      <c r="E18" s="6">
        <v>680</v>
      </c>
      <c r="F18" s="7">
        <v>44179.490972222222</v>
      </c>
    </row>
    <row r="19" spans="1:6" x14ac:dyDescent="0.3">
      <c r="A19" s="4" t="s">
        <v>11</v>
      </c>
      <c r="B19" s="4" t="s">
        <v>6</v>
      </c>
      <c r="C19" s="4" t="s">
        <v>7</v>
      </c>
      <c r="D19" s="5">
        <v>44207</v>
      </c>
      <c r="E19" s="6">
        <v>200</v>
      </c>
      <c r="F19" s="7">
        <v>44186.763888888891</v>
      </c>
    </row>
    <row r="20" spans="1:6" x14ac:dyDescent="0.3">
      <c r="A20" s="4" t="s">
        <v>11</v>
      </c>
      <c r="B20" s="4" t="s">
        <v>6</v>
      </c>
      <c r="C20" s="4" t="s">
        <v>7</v>
      </c>
      <c r="D20" s="5">
        <v>44221</v>
      </c>
      <c r="E20" s="6">
        <v>405</v>
      </c>
      <c r="F20" s="7">
        <v>44188.806944444441</v>
      </c>
    </row>
    <row r="21" spans="1:6" x14ac:dyDescent="0.3">
      <c r="A21" s="4" t="s">
        <v>5</v>
      </c>
      <c r="B21" s="4" t="s">
        <v>6</v>
      </c>
      <c r="C21" s="4" t="s">
        <v>7</v>
      </c>
      <c r="D21" s="5">
        <v>44207</v>
      </c>
      <c r="E21" s="6">
        <v>567</v>
      </c>
      <c r="F21" s="7">
        <v>44184.169444444444</v>
      </c>
    </row>
    <row r="22" spans="1:6" x14ac:dyDescent="0.3">
      <c r="A22" s="4" t="s">
        <v>13</v>
      </c>
      <c r="B22" s="4" t="s">
        <v>6</v>
      </c>
      <c r="C22" s="4" t="s">
        <v>14</v>
      </c>
      <c r="D22" s="5">
        <v>44214</v>
      </c>
      <c r="E22" s="6">
        <v>2193.34</v>
      </c>
      <c r="F22" s="7">
        <v>44193.135416666664</v>
      </c>
    </row>
    <row r="23" spans="1:6" x14ac:dyDescent="0.3">
      <c r="A23" s="4" t="s">
        <v>13</v>
      </c>
      <c r="B23" s="4" t="s">
        <v>6</v>
      </c>
      <c r="C23" s="4" t="s">
        <v>14</v>
      </c>
      <c r="D23" s="5">
        <v>44261</v>
      </c>
      <c r="E23" s="6">
        <v>2193.33</v>
      </c>
      <c r="F23" s="7">
        <v>44171.135416666664</v>
      </c>
    </row>
    <row r="24" spans="1:6" x14ac:dyDescent="0.3">
      <c r="A24" s="4" t="s">
        <v>28</v>
      </c>
      <c r="B24" s="4" t="s">
        <v>6</v>
      </c>
      <c r="C24" s="4" t="s">
        <v>7</v>
      </c>
      <c r="D24" s="5">
        <v>44265</v>
      </c>
      <c r="E24" s="6">
        <v>1027</v>
      </c>
      <c r="F24" s="7">
        <v>44187.354166666664</v>
      </c>
    </row>
    <row r="25" spans="1:6" x14ac:dyDescent="0.3">
      <c r="A25" s="4" t="s">
        <v>5</v>
      </c>
      <c r="B25" s="4" t="s">
        <v>6</v>
      </c>
      <c r="C25" s="4" t="s">
        <v>7</v>
      </c>
      <c r="D25" s="5">
        <v>44285</v>
      </c>
      <c r="E25" s="6">
        <v>1027</v>
      </c>
      <c r="F25" s="7">
        <v>44197.4375</v>
      </c>
    </row>
    <row r="26" spans="1:6" x14ac:dyDescent="0.3">
      <c r="A26" s="4" t="s">
        <v>8</v>
      </c>
      <c r="B26" s="4" t="s">
        <v>6</v>
      </c>
      <c r="C26" s="4" t="s">
        <v>7</v>
      </c>
      <c r="D26" s="5">
        <v>44277</v>
      </c>
      <c r="E26" s="6">
        <v>700</v>
      </c>
      <c r="F26" s="7">
        <v>44189.583333333336</v>
      </c>
    </row>
    <row r="27" spans="1:6" x14ac:dyDescent="0.3">
      <c r="A27" s="4" t="s">
        <v>15</v>
      </c>
      <c r="B27" s="4" t="s">
        <v>6</v>
      </c>
      <c r="C27" s="4" t="s">
        <v>7</v>
      </c>
      <c r="D27" s="5">
        <v>44299</v>
      </c>
      <c r="E27" s="6">
        <v>802</v>
      </c>
      <c r="F27" s="7">
        <v>44168.958333333336</v>
      </c>
    </row>
    <row r="28" spans="1:6" x14ac:dyDescent="0.3">
      <c r="A28" s="4" t="s">
        <v>15</v>
      </c>
      <c r="B28" s="4" t="s">
        <v>6</v>
      </c>
      <c r="C28" s="4" t="s">
        <v>7</v>
      </c>
      <c r="D28" s="5">
        <v>44278</v>
      </c>
      <c r="E28" s="6">
        <v>880.9</v>
      </c>
      <c r="F28" s="7">
        <v>44168.020833333336</v>
      </c>
    </row>
    <row r="29" spans="1:6" x14ac:dyDescent="0.3">
      <c r="A29" s="4" t="s">
        <v>10</v>
      </c>
      <c r="B29" s="4" t="s">
        <v>6</v>
      </c>
      <c r="C29" s="4" t="s">
        <v>7</v>
      </c>
      <c r="D29" s="5">
        <v>44285</v>
      </c>
      <c r="E29" s="6">
        <v>680</v>
      </c>
      <c r="F29" s="7">
        <v>44179.490972222222</v>
      </c>
    </row>
    <row r="30" spans="1:6" x14ac:dyDescent="0.3">
      <c r="A30" s="4" t="s">
        <v>11</v>
      </c>
      <c r="B30" s="4" t="s">
        <v>6</v>
      </c>
      <c r="C30" s="4" t="s">
        <v>7</v>
      </c>
      <c r="D30" s="5">
        <v>44207</v>
      </c>
      <c r="E30" s="6">
        <v>200</v>
      </c>
      <c r="F30" s="7">
        <v>44186.763888888891</v>
      </c>
    </row>
    <row r="31" spans="1:6" x14ac:dyDescent="0.3">
      <c r="A31" s="4" t="s">
        <v>11</v>
      </c>
      <c r="B31" s="4" t="s">
        <v>6</v>
      </c>
      <c r="C31" s="4" t="s">
        <v>7</v>
      </c>
      <c r="D31" s="5">
        <v>44221</v>
      </c>
      <c r="E31" s="6">
        <v>405</v>
      </c>
      <c r="F31" s="7">
        <v>44188.806944444441</v>
      </c>
    </row>
    <row r="32" spans="1:6" x14ac:dyDescent="0.3">
      <c r="A32" s="4" t="s">
        <v>5</v>
      </c>
      <c r="B32" s="4" t="s">
        <v>6</v>
      </c>
      <c r="C32" s="4" t="s">
        <v>7</v>
      </c>
      <c r="D32" s="5">
        <v>44207</v>
      </c>
      <c r="E32" s="6">
        <v>567</v>
      </c>
      <c r="F32" s="7">
        <v>44184.169444444444</v>
      </c>
    </row>
    <row r="33" spans="1:6" x14ac:dyDescent="0.3">
      <c r="A33" s="4" t="s">
        <v>13</v>
      </c>
      <c r="B33" s="4" t="s">
        <v>6</v>
      </c>
      <c r="C33" s="4" t="s">
        <v>14</v>
      </c>
      <c r="D33" s="5">
        <v>44214</v>
      </c>
      <c r="E33" s="6">
        <v>2193.34</v>
      </c>
      <c r="F33" s="7">
        <v>44193.135416666664</v>
      </c>
    </row>
    <row r="34" spans="1:6" x14ac:dyDescent="0.3">
      <c r="A34" s="4" t="s">
        <v>13</v>
      </c>
      <c r="B34" s="4" t="s">
        <v>6</v>
      </c>
      <c r="C34" s="4" t="s">
        <v>14</v>
      </c>
      <c r="D34" s="5">
        <v>44261</v>
      </c>
      <c r="E34" s="6">
        <v>2193.33</v>
      </c>
      <c r="F34" s="7">
        <v>44171.135416666664</v>
      </c>
    </row>
    <row r="35" spans="1:6" x14ac:dyDescent="0.3">
      <c r="A35" s="4" t="s">
        <v>28</v>
      </c>
      <c r="B35" s="4" t="s">
        <v>6</v>
      </c>
      <c r="C35" s="4" t="s">
        <v>7</v>
      </c>
      <c r="D35" s="5">
        <v>44265</v>
      </c>
      <c r="E35" s="6">
        <v>1027</v>
      </c>
      <c r="F35" s="7">
        <v>44187.354166666664</v>
      </c>
    </row>
    <row r="36" spans="1:6" x14ac:dyDescent="0.3">
      <c r="A36" s="4" t="s">
        <v>5</v>
      </c>
      <c r="B36" s="4" t="s">
        <v>6</v>
      </c>
      <c r="C36" s="4" t="s">
        <v>7</v>
      </c>
      <c r="D36" s="5">
        <v>44285</v>
      </c>
      <c r="E36" s="6">
        <v>1027</v>
      </c>
      <c r="F36" s="7">
        <v>44197.4375</v>
      </c>
    </row>
    <row r="37" spans="1:6" x14ac:dyDescent="0.3">
      <c r="A37" s="4" t="s">
        <v>8</v>
      </c>
      <c r="B37" s="4" t="s">
        <v>6</v>
      </c>
      <c r="C37" s="4" t="s">
        <v>7</v>
      </c>
      <c r="D37" s="5">
        <v>44277</v>
      </c>
      <c r="E37" s="6">
        <v>700</v>
      </c>
      <c r="F37" s="7">
        <v>44189.583333333336</v>
      </c>
    </row>
    <row r="38" spans="1:6" x14ac:dyDescent="0.3">
      <c r="A38" s="4" t="s">
        <v>15</v>
      </c>
      <c r="B38" s="4" t="s">
        <v>6</v>
      </c>
      <c r="C38" s="4" t="s">
        <v>7</v>
      </c>
      <c r="D38" s="5">
        <v>44299</v>
      </c>
      <c r="E38" s="6">
        <v>802</v>
      </c>
      <c r="F38" s="7">
        <v>44168.958333333336</v>
      </c>
    </row>
    <row r="39" spans="1:6" x14ac:dyDescent="0.3">
      <c r="A39" s="4" t="s">
        <v>15</v>
      </c>
      <c r="B39" s="4" t="s">
        <v>6</v>
      </c>
      <c r="C39" s="4" t="s">
        <v>7</v>
      </c>
      <c r="D39" s="5">
        <v>44278</v>
      </c>
      <c r="E39" s="6">
        <v>880.9</v>
      </c>
      <c r="F39" s="7">
        <v>44168.020833333336</v>
      </c>
    </row>
    <row r="40" spans="1:6" x14ac:dyDescent="0.3">
      <c r="A40" s="4" t="s">
        <v>10</v>
      </c>
      <c r="B40" s="4" t="s">
        <v>6</v>
      </c>
      <c r="C40" s="4" t="s">
        <v>7</v>
      </c>
      <c r="D40" s="5">
        <v>44285</v>
      </c>
      <c r="E40" s="6">
        <v>680</v>
      </c>
      <c r="F40" s="7">
        <v>44179.490972222222</v>
      </c>
    </row>
    <row r="41" spans="1:6" x14ac:dyDescent="0.3">
      <c r="A41" s="4" t="s">
        <v>11</v>
      </c>
      <c r="B41" s="4" t="s">
        <v>6</v>
      </c>
      <c r="C41" s="4" t="s">
        <v>7</v>
      </c>
      <c r="D41" s="5">
        <v>44207</v>
      </c>
      <c r="E41" s="6">
        <v>200</v>
      </c>
      <c r="F41" s="7">
        <v>44186.763888888891</v>
      </c>
    </row>
    <row r="42" spans="1:6" x14ac:dyDescent="0.3">
      <c r="A42" s="4" t="s">
        <v>11</v>
      </c>
      <c r="B42" s="4" t="s">
        <v>6</v>
      </c>
      <c r="C42" s="4" t="s">
        <v>7</v>
      </c>
      <c r="D42" s="5">
        <v>44221</v>
      </c>
      <c r="E42" s="6">
        <v>405</v>
      </c>
      <c r="F42" s="7">
        <v>44188.806944444441</v>
      </c>
    </row>
    <row r="43" spans="1:6" x14ac:dyDescent="0.3">
      <c r="A43" s="4" t="s">
        <v>5</v>
      </c>
      <c r="B43" s="4" t="s">
        <v>6</v>
      </c>
      <c r="C43" s="4" t="s">
        <v>7</v>
      </c>
      <c r="D43" s="5">
        <v>44207</v>
      </c>
      <c r="E43" s="6">
        <v>567</v>
      </c>
      <c r="F43" s="7">
        <v>44184.169444444444</v>
      </c>
    </row>
    <row r="44" spans="1:6" x14ac:dyDescent="0.3">
      <c r="A44" s="4" t="s">
        <v>13</v>
      </c>
      <c r="B44" s="4" t="s">
        <v>6</v>
      </c>
      <c r="C44" s="4" t="s">
        <v>14</v>
      </c>
      <c r="D44" s="5">
        <v>44214</v>
      </c>
      <c r="E44" s="6">
        <v>2193.34</v>
      </c>
      <c r="F44" s="7">
        <v>44193.135416666664</v>
      </c>
    </row>
    <row r="45" spans="1:6" x14ac:dyDescent="0.3">
      <c r="A45" s="4" t="s">
        <v>13</v>
      </c>
      <c r="B45" s="4" t="s">
        <v>6</v>
      </c>
      <c r="C45" s="4" t="s">
        <v>14</v>
      </c>
      <c r="D45" s="5">
        <v>44261</v>
      </c>
      <c r="E45" s="6">
        <v>2193.33</v>
      </c>
      <c r="F45" s="7">
        <v>44171.135416666664</v>
      </c>
    </row>
  </sheetData>
  <conditionalFormatting sqref="A2:F12">
    <cfRule type="expression" dxfId="4" priority="6" stopIfTrue="1">
      <formula>"se(I5:I17;""Vencida"")"</formula>
    </cfRule>
  </conditionalFormatting>
  <conditionalFormatting sqref="A13:F23">
    <cfRule type="expression" dxfId="3" priority="5" stopIfTrue="1">
      <formula>"se(I5:I17;""Vencida"")"</formula>
    </cfRule>
  </conditionalFormatting>
  <conditionalFormatting sqref="A35:F45">
    <cfRule type="expression" dxfId="2" priority="2" stopIfTrue="1">
      <formula>"se(I5:I17;""Vencida"")"</formula>
    </cfRule>
  </conditionalFormatting>
  <conditionalFormatting sqref="A24:F34">
    <cfRule type="expression" dxfId="1" priority="3" stopIfTrue="1">
      <formula>"se(I5:I17;""Vencida"")"</formula>
    </cfRule>
  </conditionalFormatting>
  <conditionalFormatting sqref="A1:F1">
    <cfRule type="expression" dxfId="0" priority="1" stopIfTrue="1">
      <formula>"se(I5:I17;""Vencida"")"</formula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0B8BB-53FC-4A73-B233-997B63B2616F}">
  <dimension ref="A1:Q21"/>
  <sheetViews>
    <sheetView workbookViewId="0">
      <pane xSplit="2" ySplit="1" topLeftCell="H2" activePane="bottomRight" state="frozen"/>
      <selection pane="topRight" activeCell="C1" sqref="C1"/>
      <selection pane="bottomLeft" activeCell="A2" sqref="A2"/>
      <selection pane="bottomRight" activeCell="R2" sqref="R2"/>
    </sheetView>
  </sheetViews>
  <sheetFormatPr defaultRowHeight="14.4" x14ac:dyDescent="0.3"/>
  <cols>
    <col min="1" max="1" width="8.44140625" bestFit="1" customWidth="1"/>
    <col min="2" max="2" width="11.6640625" bestFit="1" customWidth="1"/>
    <col min="3" max="3" width="16.33203125" style="1" bestFit="1" customWidth="1"/>
    <col min="4" max="4" width="16.6640625" style="1" bestFit="1" customWidth="1"/>
    <col min="5" max="5" width="12" bestFit="1" customWidth="1"/>
    <col min="6" max="6" width="27.6640625" bestFit="1" customWidth="1"/>
    <col min="7" max="7" width="36.44140625" bestFit="1" customWidth="1"/>
    <col min="8" max="8" width="6.33203125" bestFit="1" customWidth="1"/>
    <col min="9" max="9" width="17.44140625" bestFit="1" customWidth="1"/>
    <col min="10" max="10" width="17.6640625" bestFit="1" customWidth="1"/>
    <col min="11" max="11" width="24.6640625" bestFit="1" customWidth="1"/>
    <col min="12" max="12" width="99.88671875" bestFit="1" customWidth="1"/>
  </cols>
  <sheetData>
    <row r="1" spans="1:17" ht="15.6" x14ac:dyDescent="0.3">
      <c r="A1" s="25" t="s">
        <v>0</v>
      </c>
      <c r="B1" s="25" t="s">
        <v>65</v>
      </c>
      <c r="C1" s="25" t="s">
        <v>60</v>
      </c>
      <c r="D1" s="25" t="s">
        <v>97</v>
      </c>
      <c r="E1" s="25" t="s">
        <v>64</v>
      </c>
      <c r="F1" s="25" t="s">
        <v>81</v>
      </c>
      <c r="G1" s="25" t="s">
        <v>100</v>
      </c>
      <c r="H1" s="25" t="s">
        <v>63</v>
      </c>
      <c r="I1" s="25" t="s">
        <v>62</v>
      </c>
      <c r="J1" s="25" t="s">
        <v>61</v>
      </c>
      <c r="K1" s="25" t="s">
        <v>59</v>
      </c>
      <c r="L1" s="25" t="s">
        <v>58</v>
      </c>
    </row>
    <row r="2" spans="1:17" x14ac:dyDescent="0.3">
      <c r="A2" t="s">
        <v>36</v>
      </c>
      <c r="B2" t="s">
        <v>57</v>
      </c>
      <c r="C2" t="s">
        <v>66</v>
      </c>
      <c r="D2" t="str">
        <f>CONCATENATE(A2," ",B2)</f>
        <v>Paulo Fróes</v>
      </c>
      <c r="E2" s="1">
        <v>36387</v>
      </c>
      <c r="F2" s="1" t="s">
        <v>82</v>
      </c>
      <c r="G2" s="23" t="s">
        <v>101</v>
      </c>
      <c r="H2">
        <f t="shared" ref="H2:H16" ca="1" si="0">ROUNDDOWN((TODAY()-E2)/365,0)</f>
        <v>26</v>
      </c>
      <c r="I2">
        <v>1</v>
      </c>
      <c r="J2" s="1">
        <v>44384</v>
      </c>
      <c r="K2" t="str">
        <f>A2&amp;" "&amp;B2&amp;".Código"&amp;I2</f>
        <v>Paulo Fróes.Código1</v>
      </c>
      <c r="L2" t="str">
        <f ca="1">CONCATENATE(C2," nascido em ",E2," possui ",H2," anos. Possui o codigo de cliente: ",I2," e foi liberado para cadastro no dia ",J2)</f>
        <v>Paulo Fróes nascido em 36387 possui 26 anos. Possui o codigo de cliente: 1 e foi liberado para cadastro no dia 44384</v>
      </c>
      <c r="N2" s="64" t="s">
        <v>56</v>
      </c>
      <c r="O2" s="64"/>
      <c r="P2" s="64"/>
      <c r="Q2" s="64"/>
    </row>
    <row r="3" spans="1:17" x14ac:dyDescent="0.3">
      <c r="A3" t="s">
        <v>55</v>
      </c>
      <c r="B3" t="s">
        <v>54</v>
      </c>
      <c r="C3" t="s">
        <v>67</v>
      </c>
      <c r="D3" t="str">
        <f t="shared" ref="D3:D16" si="1">CONCATENATE(A3," ",B3)</f>
        <v>Elisa Teixeira</v>
      </c>
      <c r="E3" s="1">
        <v>38648</v>
      </c>
      <c r="F3" s="1" t="s">
        <v>83</v>
      </c>
      <c r="G3" s="23" t="s">
        <v>102</v>
      </c>
      <c r="H3">
        <f t="shared" ca="1" si="0"/>
        <v>20</v>
      </c>
      <c r="I3">
        <v>2</v>
      </c>
      <c r="J3" s="1">
        <v>44385</v>
      </c>
      <c r="K3" t="str">
        <f t="shared" ref="K3:K16" si="2">A3&amp;" "&amp;B3&amp;".Código"&amp;I3</f>
        <v>Elisa Teixeira.Código2</v>
      </c>
      <c r="L3" t="str">
        <f t="shared" ref="L3:L16" ca="1" si="3">CONCATENATE(C3," nascido em ",E3," possui ",H3," anos. Possui o codigo de cliente: ",I3," e foi liberado para cadastro no dia ",J3)</f>
        <v>Elisa Teixeira nascido em 38648 possui 20 anos. Possui o codigo de cliente: 2 e foi liberado para cadastro no dia 44385</v>
      </c>
      <c r="N3" s="64"/>
      <c r="O3" s="64"/>
      <c r="P3" s="64"/>
      <c r="Q3" s="64"/>
    </row>
    <row r="4" spans="1:17" x14ac:dyDescent="0.3">
      <c r="A4" t="s">
        <v>53</v>
      </c>
      <c r="B4" t="s">
        <v>52</v>
      </c>
      <c r="C4" t="s">
        <v>68</v>
      </c>
      <c r="D4" t="str">
        <f t="shared" si="1"/>
        <v>Augusto Nunes</v>
      </c>
      <c r="E4" s="1">
        <v>35848</v>
      </c>
      <c r="F4" s="1" t="s">
        <v>84</v>
      </c>
      <c r="G4" s="23" t="s">
        <v>103</v>
      </c>
      <c r="H4">
        <f t="shared" ca="1" si="0"/>
        <v>27</v>
      </c>
      <c r="I4">
        <v>3</v>
      </c>
      <c r="J4" s="1">
        <v>44386</v>
      </c>
      <c r="K4" t="str">
        <f t="shared" si="2"/>
        <v>Augusto Nunes.Código3</v>
      </c>
      <c r="L4" t="str">
        <f t="shared" ca="1" si="3"/>
        <v>Augusto Nunes nascido em 35848 possui 27 anos. Possui o codigo de cliente: 3 e foi liberado para cadastro no dia 44386</v>
      </c>
      <c r="N4" s="64"/>
      <c r="O4" s="64"/>
      <c r="P4" s="64"/>
      <c r="Q4" s="64"/>
    </row>
    <row r="5" spans="1:17" x14ac:dyDescent="0.3">
      <c r="A5" t="s">
        <v>51</v>
      </c>
      <c r="B5" t="s">
        <v>48</v>
      </c>
      <c r="C5" t="s">
        <v>69</v>
      </c>
      <c r="D5" t="str">
        <f t="shared" si="1"/>
        <v>José Rodrigues</v>
      </c>
      <c r="E5" s="1">
        <v>34043</v>
      </c>
      <c r="F5" s="1" t="s">
        <v>85</v>
      </c>
      <c r="G5" s="23" t="s">
        <v>104</v>
      </c>
      <c r="H5">
        <f t="shared" ca="1" si="0"/>
        <v>32</v>
      </c>
      <c r="I5">
        <v>4</v>
      </c>
      <c r="J5" s="1">
        <v>44387</v>
      </c>
      <c r="K5" t="str">
        <f t="shared" si="2"/>
        <v>José Rodrigues.Código4</v>
      </c>
      <c r="L5" t="str">
        <f t="shared" ca="1" si="3"/>
        <v>José Rodrigues nascido em 34043 possui 32 anos. Possui o codigo de cliente: 4 e foi liberado para cadastro no dia 44387</v>
      </c>
      <c r="N5" s="64"/>
      <c r="O5" s="64"/>
      <c r="P5" s="64"/>
      <c r="Q5" s="64"/>
    </row>
    <row r="6" spans="1:17" x14ac:dyDescent="0.3">
      <c r="A6" t="s">
        <v>49</v>
      </c>
      <c r="B6" t="s">
        <v>50</v>
      </c>
      <c r="C6" t="s">
        <v>70</v>
      </c>
      <c r="D6" t="str">
        <f t="shared" si="1"/>
        <v>Maria Aparecida</v>
      </c>
      <c r="E6" s="1">
        <v>33755</v>
      </c>
      <c r="F6" s="1" t="s">
        <v>86</v>
      </c>
      <c r="G6" s="23" t="s">
        <v>105</v>
      </c>
      <c r="H6">
        <f t="shared" ca="1" si="0"/>
        <v>33</v>
      </c>
      <c r="I6">
        <v>5</v>
      </c>
      <c r="J6" s="1">
        <v>44388</v>
      </c>
      <c r="K6" t="str">
        <f t="shared" si="2"/>
        <v>Maria Aparecida.Código5</v>
      </c>
      <c r="L6" t="str">
        <f t="shared" ca="1" si="3"/>
        <v>Maria Aparecida nascido em 33755 possui 33 anos. Possui o codigo de cliente: 5 e foi liberado para cadastro no dia 44388</v>
      </c>
      <c r="N6" s="64"/>
      <c r="O6" s="64"/>
      <c r="P6" s="64"/>
      <c r="Q6" s="64"/>
    </row>
    <row r="7" spans="1:17" x14ac:dyDescent="0.3">
      <c r="A7" t="s">
        <v>49</v>
      </c>
      <c r="B7" t="s">
        <v>48</v>
      </c>
      <c r="C7" t="s">
        <v>71</v>
      </c>
      <c r="D7" t="str">
        <f t="shared" si="1"/>
        <v>Maria Rodrigues</v>
      </c>
      <c r="E7" s="1">
        <v>38843</v>
      </c>
      <c r="F7" s="1" t="s">
        <v>87</v>
      </c>
      <c r="G7" s="23" t="s">
        <v>106</v>
      </c>
      <c r="H7">
        <f t="shared" ca="1" si="0"/>
        <v>19</v>
      </c>
      <c r="I7">
        <v>6</v>
      </c>
      <c r="J7" s="1">
        <v>44389</v>
      </c>
      <c r="K7" t="str">
        <f t="shared" si="2"/>
        <v>Maria Rodrigues.Código6</v>
      </c>
      <c r="L7" t="str">
        <f t="shared" ca="1" si="3"/>
        <v>Maria Rodrigues nascido em 38843 possui 19 anos. Possui o codigo de cliente: 6 e foi liberado para cadastro no dia 44389</v>
      </c>
      <c r="N7" s="64"/>
      <c r="O7" s="64"/>
      <c r="P7" s="64"/>
      <c r="Q7" s="64"/>
    </row>
    <row r="8" spans="1:17" x14ac:dyDescent="0.3">
      <c r="A8" t="s">
        <v>47</v>
      </c>
      <c r="B8" t="s">
        <v>46</v>
      </c>
      <c r="C8" t="s">
        <v>72</v>
      </c>
      <c r="D8" t="str">
        <f t="shared" si="1"/>
        <v>Bruno Vicentini</v>
      </c>
      <c r="E8" s="1">
        <v>39387</v>
      </c>
      <c r="F8" s="1" t="s">
        <v>88</v>
      </c>
      <c r="G8" s="23" t="s">
        <v>107</v>
      </c>
      <c r="H8">
        <f t="shared" ca="1" si="0"/>
        <v>18</v>
      </c>
      <c r="I8">
        <v>7</v>
      </c>
      <c r="J8" s="1">
        <v>44390</v>
      </c>
      <c r="K8" t="str">
        <f t="shared" si="2"/>
        <v>Bruno Vicentini.Código7</v>
      </c>
      <c r="L8" t="str">
        <f t="shared" ca="1" si="3"/>
        <v>Bruno Vicentini nascido em 39387 possui 18 anos. Possui o codigo de cliente: 7 e foi liberado para cadastro no dia 44390</v>
      </c>
      <c r="N8" s="64"/>
      <c r="O8" s="64"/>
      <c r="P8" s="64"/>
      <c r="Q8" s="64"/>
    </row>
    <row r="9" spans="1:17" x14ac:dyDescent="0.3">
      <c r="A9" t="s">
        <v>45</v>
      </c>
      <c r="B9" t="s">
        <v>44</v>
      </c>
      <c r="C9" t="s">
        <v>73</v>
      </c>
      <c r="D9" t="str">
        <f t="shared" si="1"/>
        <v>Joel Roberto</v>
      </c>
      <c r="E9" s="1">
        <v>34342</v>
      </c>
      <c r="F9" s="1" t="s">
        <v>89</v>
      </c>
      <c r="G9" s="23" t="s">
        <v>108</v>
      </c>
      <c r="H9">
        <f t="shared" ca="1" si="0"/>
        <v>32</v>
      </c>
      <c r="I9">
        <v>8</v>
      </c>
      <c r="J9" s="1">
        <v>44391</v>
      </c>
      <c r="K9" t="str">
        <f t="shared" si="2"/>
        <v>Joel Roberto.Código8</v>
      </c>
      <c r="L9" t="str">
        <f t="shared" ca="1" si="3"/>
        <v>Joel Roberto nascido em 34342 possui 32 anos. Possui o codigo de cliente: 8 e foi liberado para cadastro no dia 44391</v>
      </c>
      <c r="N9" s="64"/>
      <c r="O9" s="64"/>
      <c r="P9" s="64"/>
      <c r="Q9" s="64"/>
    </row>
    <row r="10" spans="1:17" x14ac:dyDescent="0.3">
      <c r="A10" t="s">
        <v>44</v>
      </c>
      <c r="B10" t="s">
        <v>43</v>
      </c>
      <c r="C10" t="s">
        <v>74</v>
      </c>
      <c r="D10" t="str">
        <f t="shared" si="1"/>
        <v>Roberto Carlos</v>
      </c>
      <c r="E10" s="1">
        <v>35394</v>
      </c>
      <c r="F10" s="1" t="s">
        <v>90</v>
      </c>
      <c r="G10" s="23" t="s">
        <v>109</v>
      </c>
      <c r="H10">
        <f t="shared" ca="1" si="0"/>
        <v>29</v>
      </c>
      <c r="I10">
        <v>9</v>
      </c>
      <c r="J10" s="1">
        <v>44392</v>
      </c>
      <c r="K10" t="str">
        <f t="shared" si="2"/>
        <v>Roberto Carlos.Código9</v>
      </c>
      <c r="L10" t="str">
        <f t="shared" ca="1" si="3"/>
        <v>Roberto Carlos nascido em 35394 possui 29 anos. Possui o codigo de cliente: 9 e foi liberado para cadastro no dia 44392</v>
      </c>
      <c r="N10" s="64"/>
      <c r="O10" s="64"/>
      <c r="P10" s="64"/>
      <c r="Q10" s="64"/>
    </row>
    <row r="11" spans="1:17" x14ac:dyDescent="0.3">
      <c r="A11" t="s">
        <v>42</v>
      </c>
      <c r="B11" t="s">
        <v>41</v>
      </c>
      <c r="C11" t="s">
        <v>75</v>
      </c>
      <c r="D11" t="str">
        <f t="shared" si="1"/>
        <v>Anna Cristina</v>
      </c>
      <c r="E11" s="1">
        <v>37025</v>
      </c>
      <c r="F11" s="1" t="s">
        <v>91</v>
      </c>
      <c r="G11" s="23" t="s">
        <v>110</v>
      </c>
      <c r="H11">
        <f t="shared" ca="1" si="0"/>
        <v>24</v>
      </c>
      <c r="I11">
        <v>10</v>
      </c>
      <c r="J11" s="1">
        <v>44393</v>
      </c>
      <c r="K11" t="str">
        <f t="shared" si="2"/>
        <v>Anna Cristina.Código10</v>
      </c>
      <c r="L11" t="str">
        <f t="shared" ca="1" si="3"/>
        <v>Anna Cristina nascido em 37025 possui 24 anos. Possui o codigo de cliente: 10 e foi liberado para cadastro no dia 44393</v>
      </c>
      <c r="N11" s="64"/>
      <c r="O11" s="64"/>
      <c r="P11" s="64"/>
      <c r="Q11" s="64"/>
    </row>
    <row r="12" spans="1:17" x14ac:dyDescent="0.3">
      <c r="A12" t="s">
        <v>40</v>
      </c>
      <c r="B12" t="s">
        <v>39</v>
      </c>
      <c r="C12" t="s">
        <v>76</v>
      </c>
      <c r="D12" t="str">
        <f t="shared" si="1"/>
        <v>Lima Duarte</v>
      </c>
      <c r="E12" s="1">
        <v>39732</v>
      </c>
      <c r="F12" s="1" t="s">
        <v>92</v>
      </c>
      <c r="G12" s="23" t="s">
        <v>111</v>
      </c>
      <c r="H12">
        <f t="shared" ca="1" si="0"/>
        <v>17</v>
      </c>
      <c r="I12">
        <v>11</v>
      </c>
      <c r="J12" s="1">
        <v>44394</v>
      </c>
      <c r="K12" t="str">
        <f t="shared" si="2"/>
        <v>Lima Duarte.Código11</v>
      </c>
      <c r="L12" t="str">
        <f t="shared" ca="1" si="3"/>
        <v>Lima Duarte nascido em 39732 possui 17 anos. Possui o codigo de cliente: 11 e foi liberado para cadastro no dia 44394</v>
      </c>
      <c r="N12" s="64"/>
      <c r="O12" s="64"/>
      <c r="P12" s="64"/>
      <c r="Q12" s="64"/>
    </row>
    <row r="13" spans="1:17" x14ac:dyDescent="0.3">
      <c r="A13" t="s">
        <v>38</v>
      </c>
      <c r="B13" t="s">
        <v>37</v>
      </c>
      <c r="C13" t="s">
        <v>77</v>
      </c>
      <c r="D13" t="str">
        <f t="shared" si="1"/>
        <v>Laércio Guimarães</v>
      </c>
      <c r="E13" s="1">
        <v>39624</v>
      </c>
      <c r="F13" s="1" t="s">
        <v>93</v>
      </c>
      <c r="G13" s="23" t="s">
        <v>112</v>
      </c>
      <c r="H13">
        <f t="shared" ca="1" si="0"/>
        <v>17</v>
      </c>
      <c r="I13">
        <v>12</v>
      </c>
      <c r="J13" s="1">
        <v>44395</v>
      </c>
      <c r="K13" t="str">
        <f t="shared" si="2"/>
        <v>Laércio Guimarães.Código12</v>
      </c>
      <c r="L13" t="str">
        <f t="shared" ca="1" si="3"/>
        <v>Laércio Guimarães nascido em 39624 possui 17 anos. Possui o codigo de cliente: 12 e foi liberado para cadastro no dia 44395</v>
      </c>
      <c r="N13" s="64"/>
      <c r="O13" s="64"/>
      <c r="P13" s="64"/>
      <c r="Q13" s="64"/>
    </row>
    <row r="14" spans="1:17" x14ac:dyDescent="0.3">
      <c r="A14" t="s">
        <v>36</v>
      </c>
      <c r="B14" t="s">
        <v>35</v>
      </c>
      <c r="C14" t="s">
        <v>78</v>
      </c>
      <c r="D14" t="str">
        <f t="shared" si="1"/>
        <v>Paulo Vieira</v>
      </c>
      <c r="E14" s="1">
        <v>39935</v>
      </c>
      <c r="F14" s="1" t="s">
        <v>94</v>
      </c>
      <c r="G14" s="23" t="s">
        <v>113</v>
      </c>
      <c r="H14">
        <f t="shared" ca="1" si="0"/>
        <v>16</v>
      </c>
      <c r="I14">
        <v>13</v>
      </c>
      <c r="J14" s="1">
        <v>44396</v>
      </c>
      <c r="K14" t="str">
        <f t="shared" si="2"/>
        <v>Paulo Vieira.Código13</v>
      </c>
      <c r="L14" t="str">
        <f t="shared" ca="1" si="3"/>
        <v>Paulo Vieira nascido em 39935 possui 16 anos. Possui o codigo de cliente: 13 e foi liberado para cadastro no dia 44396</v>
      </c>
      <c r="N14" s="64"/>
      <c r="O14" s="64"/>
      <c r="P14" s="64"/>
      <c r="Q14" s="64"/>
    </row>
    <row r="15" spans="1:17" x14ac:dyDescent="0.3">
      <c r="A15" t="s">
        <v>34</v>
      </c>
      <c r="B15" t="s">
        <v>33</v>
      </c>
      <c r="C15" t="s">
        <v>79</v>
      </c>
      <c r="D15" t="str">
        <f t="shared" si="1"/>
        <v>Conrado Adolpho</v>
      </c>
      <c r="E15" s="1">
        <v>33218</v>
      </c>
      <c r="F15" s="1" t="s">
        <v>95</v>
      </c>
      <c r="G15" s="23" t="s">
        <v>114</v>
      </c>
      <c r="H15">
        <f t="shared" ca="1" si="0"/>
        <v>35</v>
      </c>
      <c r="I15">
        <v>14</v>
      </c>
      <c r="J15" s="1">
        <v>44397</v>
      </c>
      <c r="K15" t="str">
        <f t="shared" si="2"/>
        <v>Conrado Adolpho.Código14</v>
      </c>
      <c r="L15" t="str">
        <f t="shared" ca="1" si="3"/>
        <v>Conrado Adolpho nascido em 33218 possui 35 anos. Possui o codigo de cliente: 14 e foi liberado para cadastro no dia 44397</v>
      </c>
      <c r="N15" s="64"/>
      <c r="O15" s="64"/>
      <c r="P15" s="64"/>
      <c r="Q15" s="64"/>
    </row>
    <row r="16" spans="1:17" x14ac:dyDescent="0.3">
      <c r="A16" t="s">
        <v>32</v>
      </c>
      <c r="B16" t="s">
        <v>31</v>
      </c>
      <c r="C16" t="s">
        <v>80</v>
      </c>
      <c r="D16" t="str">
        <f t="shared" si="1"/>
        <v>Soledade Acácia</v>
      </c>
      <c r="E16" s="1">
        <v>35624</v>
      </c>
      <c r="F16" s="1" t="s">
        <v>96</v>
      </c>
      <c r="G16" s="23" t="s">
        <v>115</v>
      </c>
      <c r="H16">
        <f t="shared" ca="1" si="0"/>
        <v>28</v>
      </c>
      <c r="I16">
        <v>15</v>
      </c>
      <c r="J16" s="1">
        <v>44398</v>
      </c>
      <c r="K16" t="str">
        <f t="shared" si="2"/>
        <v>Soledade Acácia.Código15</v>
      </c>
      <c r="L16" t="str">
        <f t="shared" ca="1" si="3"/>
        <v>Soledade Acácia nascido em 35624 possui 28 anos. Possui o codigo de cliente: 15 e foi liberado para cadastro no dia 44398</v>
      </c>
      <c r="N16" s="64"/>
      <c r="O16" s="64"/>
      <c r="P16" s="64"/>
      <c r="Q16" s="64"/>
    </row>
    <row r="17" spans="2:17" x14ac:dyDescent="0.3">
      <c r="N17" s="64"/>
      <c r="O17" s="64"/>
      <c r="P17" s="64"/>
      <c r="Q17" s="64"/>
    </row>
    <row r="18" spans="2:17" x14ac:dyDescent="0.3">
      <c r="B18" s="65" t="s">
        <v>98</v>
      </c>
      <c r="C18" s="65"/>
      <c r="N18" s="64"/>
      <c r="O18" s="64"/>
      <c r="P18" s="64"/>
      <c r="Q18" s="64"/>
    </row>
    <row r="19" spans="2:17" x14ac:dyDescent="0.3">
      <c r="D19" s="66" t="s">
        <v>99</v>
      </c>
      <c r="E19" s="66"/>
      <c r="N19" s="64"/>
      <c r="O19" s="64"/>
      <c r="P19" s="64"/>
      <c r="Q19" s="64"/>
    </row>
    <row r="20" spans="2:17" x14ac:dyDescent="0.3">
      <c r="D20" s="66"/>
      <c r="E20" s="66"/>
      <c r="N20" s="64"/>
      <c r="O20" s="64"/>
      <c r="P20" s="64"/>
      <c r="Q20" s="64"/>
    </row>
    <row r="21" spans="2:17" x14ac:dyDescent="0.3">
      <c r="N21" s="64"/>
      <c r="O21" s="64"/>
      <c r="P21" s="64"/>
      <c r="Q21" s="64"/>
    </row>
  </sheetData>
  <mergeCells count="3">
    <mergeCell ref="N2:Q21"/>
    <mergeCell ref="B18:C18"/>
    <mergeCell ref="D19:E20"/>
  </mergeCells>
  <phoneticPr fontId="9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C9DC1-49E9-4143-9AC6-9F5B2AF67D44}">
  <dimension ref="A1:T22"/>
  <sheetViews>
    <sheetView workbookViewId="0">
      <selection activeCell="G4" sqref="G4:J12"/>
    </sheetView>
  </sheetViews>
  <sheetFormatPr defaultRowHeight="14.4" x14ac:dyDescent="0.3"/>
  <cols>
    <col min="1" max="1" width="17.5546875" bestFit="1" customWidth="1"/>
    <col min="2" max="2" width="16.5546875" bestFit="1" customWidth="1"/>
    <col min="3" max="3" width="10.6640625" bestFit="1" customWidth="1"/>
  </cols>
  <sheetData>
    <row r="1" spans="1:20" x14ac:dyDescent="0.3">
      <c r="A1" s="26" t="s">
        <v>130</v>
      </c>
      <c r="B1" s="26" t="s">
        <v>0</v>
      </c>
      <c r="C1" s="26" t="s">
        <v>65</v>
      </c>
    </row>
    <row r="2" spans="1:20" x14ac:dyDescent="0.3">
      <c r="A2" t="s">
        <v>66</v>
      </c>
      <c r="B2" t="s">
        <v>36</v>
      </c>
      <c r="C2" t="s">
        <v>57</v>
      </c>
    </row>
    <row r="3" spans="1:20" x14ac:dyDescent="0.3">
      <c r="A3" t="s">
        <v>129</v>
      </c>
      <c r="B3" t="s">
        <v>55</v>
      </c>
      <c r="C3" t="s">
        <v>54</v>
      </c>
      <c r="Q3" s="64" t="s">
        <v>56</v>
      </c>
      <c r="R3" s="67"/>
      <c r="S3" s="67"/>
      <c r="T3" s="67"/>
    </row>
    <row r="4" spans="1:20" x14ac:dyDescent="0.3">
      <c r="A4" t="s">
        <v>128</v>
      </c>
      <c r="B4" t="s">
        <v>53</v>
      </c>
      <c r="C4" t="s">
        <v>52</v>
      </c>
      <c r="G4" s="78" t="s">
        <v>284</v>
      </c>
      <c r="H4" s="78"/>
      <c r="I4" s="78"/>
      <c r="J4" s="78"/>
      <c r="Q4" s="67"/>
      <c r="R4" s="67"/>
      <c r="S4" s="67"/>
      <c r="T4" s="67"/>
    </row>
    <row r="5" spans="1:20" x14ac:dyDescent="0.3">
      <c r="A5" t="s">
        <v>127</v>
      </c>
      <c r="B5" t="s">
        <v>51</v>
      </c>
      <c r="C5" t="s">
        <v>48</v>
      </c>
      <c r="G5" s="78"/>
      <c r="H5" s="78"/>
      <c r="I5" s="78"/>
      <c r="J5" s="78"/>
      <c r="Q5" s="67"/>
      <c r="R5" s="67"/>
      <c r="S5" s="67"/>
      <c r="T5" s="67"/>
    </row>
    <row r="6" spans="1:20" x14ac:dyDescent="0.3">
      <c r="A6" t="s">
        <v>126</v>
      </c>
      <c r="B6" t="s">
        <v>49</v>
      </c>
      <c r="C6" t="s">
        <v>50</v>
      </c>
      <c r="G6" s="78"/>
      <c r="H6" s="78"/>
      <c r="I6" s="78"/>
      <c r="J6" s="78"/>
      <c r="Q6" s="67"/>
      <c r="R6" s="67"/>
      <c r="S6" s="67"/>
      <c r="T6" s="67"/>
    </row>
    <row r="7" spans="1:20" x14ac:dyDescent="0.3">
      <c r="A7" t="s">
        <v>125</v>
      </c>
      <c r="B7" t="s">
        <v>49</v>
      </c>
      <c r="C7" t="s">
        <v>48</v>
      </c>
      <c r="G7" s="78"/>
      <c r="H7" s="78"/>
      <c r="I7" s="78"/>
      <c r="J7" s="78"/>
      <c r="Q7" s="67"/>
      <c r="R7" s="67"/>
      <c r="S7" s="67"/>
      <c r="T7" s="67"/>
    </row>
    <row r="8" spans="1:20" x14ac:dyDescent="0.3">
      <c r="A8" t="s">
        <v>124</v>
      </c>
      <c r="B8" t="s">
        <v>47</v>
      </c>
      <c r="C8" t="s">
        <v>46</v>
      </c>
      <c r="G8" s="78"/>
      <c r="H8" s="78"/>
      <c r="I8" s="78"/>
      <c r="J8" s="78"/>
      <c r="Q8" s="67"/>
      <c r="R8" s="67"/>
      <c r="S8" s="67"/>
      <c r="T8" s="67"/>
    </row>
    <row r="9" spans="1:20" x14ac:dyDescent="0.3">
      <c r="A9" t="s">
        <v>123</v>
      </c>
      <c r="B9" t="s">
        <v>45</v>
      </c>
      <c r="C9" t="s">
        <v>44</v>
      </c>
      <c r="G9" s="78"/>
      <c r="H9" s="78"/>
      <c r="I9" s="78"/>
      <c r="J9" s="78"/>
      <c r="Q9" s="67"/>
      <c r="R9" s="67"/>
      <c r="S9" s="67"/>
      <c r="T9" s="67"/>
    </row>
    <row r="10" spans="1:20" x14ac:dyDescent="0.3">
      <c r="A10" t="s">
        <v>122</v>
      </c>
      <c r="B10" t="s">
        <v>44</v>
      </c>
      <c r="C10" t="s">
        <v>43</v>
      </c>
      <c r="G10" s="78"/>
      <c r="H10" s="78"/>
      <c r="I10" s="78"/>
      <c r="J10" s="78"/>
      <c r="Q10" s="67"/>
      <c r="R10" s="67"/>
      <c r="S10" s="67"/>
      <c r="T10" s="67"/>
    </row>
    <row r="11" spans="1:20" x14ac:dyDescent="0.3">
      <c r="A11" t="s">
        <v>121</v>
      </c>
      <c r="B11" t="s">
        <v>42</v>
      </c>
      <c r="C11" t="s">
        <v>41</v>
      </c>
      <c r="G11" s="78"/>
      <c r="H11" s="78"/>
      <c r="I11" s="78"/>
      <c r="J11" s="78"/>
      <c r="Q11" s="67"/>
      <c r="R11" s="67"/>
      <c r="S11" s="67"/>
      <c r="T11" s="67"/>
    </row>
    <row r="12" spans="1:20" x14ac:dyDescent="0.3">
      <c r="A12" t="s">
        <v>120</v>
      </c>
      <c r="B12" t="s">
        <v>40</v>
      </c>
      <c r="C12" t="s">
        <v>39</v>
      </c>
      <c r="G12" s="78"/>
      <c r="H12" s="78"/>
      <c r="I12" s="78"/>
      <c r="J12" s="78"/>
      <c r="Q12" s="67"/>
      <c r="R12" s="67"/>
      <c r="S12" s="67"/>
      <c r="T12" s="67"/>
    </row>
    <row r="13" spans="1:20" x14ac:dyDescent="0.3">
      <c r="A13" t="s">
        <v>119</v>
      </c>
      <c r="B13" t="s">
        <v>38</v>
      </c>
      <c r="C13" t="s">
        <v>37</v>
      </c>
      <c r="Q13" s="67"/>
      <c r="R13" s="67"/>
      <c r="S13" s="67"/>
      <c r="T13" s="67"/>
    </row>
    <row r="14" spans="1:20" x14ac:dyDescent="0.3">
      <c r="A14" t="s">
        <v>118</v>
      </c>
      <c r="B14" t="s">
        <v>36</v>
      </c>
      <c r="C14" t="s">
        <v>35</v>
      </c>
      <c r="Q14" s="67"/>
      <c r="R14" s="67"/>
      <c r="S14" s="67"/>
      <c r="T14" s="67"/>
    </row>
    <row r="15" spans="1:20" x14ac:dyDescent="0.3">
      <c r="A15" t="s">
        <v>117</v>
      </c>
      <c r="B15" t="s">
        <v>34</v>
      </c>
      <c r="C15" t="s">
        <v>33</v>
      </c>
      <c r="Q15" s="67"/>
      <c r="R15" s="67"/>
      <c r="S15" s="67"/>
      <c r="T15" s="67"/>
    </row>
    <row r="16" spans="1:20" x14ac:dyDescent="0.3">
      <c r="A16" t="s">
        <v>116</v>
      </c>
      <c r="B16" t="s">
        <v>32</v>
      </c>
      <c r="C16" t="s">
        <v>31</v>
      </c>
      <c r="Q16" s="67"/>
      <c r="R16" s="67"/>
      <c r="S16" s="67"/>
      <c r="T16" s="67"/>
    </row>
    <row r="17" spans="17:20" x14ac:dyDescent="0.3">
      <c r="Q17" s="67"/>
      <c r="R17" s="67"/>
      <c r="S17" s="67"/>
      <c r="T17" s="67"/>
    </row>
    <row r="18" spans="17:20" x14ac:dyDescent="0.3">
      <c r="Q18" s="67"/>
      <c r="R18" s="67"/>
      <c r="S18" s="67"/>
      <c r="T18" s="67"/>
    </row>
    <row r="19" spans="17:20" x14ac:dyDescent="0.3">
      <c r="Q19" s="67"/>
      <c r="R19" s="67"/>
      <c r="S19" s="67"/>
      <c r="T19" s="67"/>
    </row>
    <row r="20" spans="17:20" x14ac:dyDescent="0.3">
      <c r="Q20" s="67"/>
      <c r="R20" s="67"/>
      <c r="S20" s="67"/>
      <c r="T20" s="67"/>
    </row>
    <row r="21" spans="17:20" x14ac:dyDescent="0.3">
      <c r="Q21" s="67"/>
      <c r="R21" s="67"/>
      <c r="S21" s="67"/>
      <c r="T21" s="67"/>
    </row>
    <row r="22" spans="17:20" x14ac:dyDescent="0.3">
      <c r="Q22" s="67"/>
      <c r="R22" s="67"/>
      <c r="S22" s="67"/>
      <c r="T22" s="67"/>
    </row>
  </sheetData>
  <mergeCells count="2">
    <mergeCell ref="Q3:T22"/>
    <mergeCell ref="G4:J1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20821-848B-455B-892C-75CB5A06117A}">
  <dimension ref="A1:T22"/>
  <sheetViews>
    <sheetView topLeftCell="A4" workbookViewId="0">
      <selection activeCell="D18" sqref="D18"/>
    </sheetView>
  </sheetViews>
  <sheetFormatPr defaultRowHeight="14.4" x14ac:dyDescent="0.3"/>
  <cols>
    <col min="1" max="1" width="18" bestFit="1" customWidth="1"/>
    <col min="2" max="2" width="10.6640625" bestFit="1" customWidth="1"/>
    <col min="3" max="4" width="17.6640625" bestFit="1" customWidth="1"/>
  </cols>
  <sheetData>
    <row r="1" spans="1:20" x14ac:dyDescent="0.3">
      <c r="A1" s="26" t="s">
        <v>0</v>
      </c>
      <c r="B1" s="26" t="s">
        <v>65</v>
      </c>
      <c r="C1" s="26" t="s">
        <v>131</v>
      </c>
    </row>
    <row r="2" spans="1:20" x14ac:dyDescent="0.3">
      <c r="A2" t="s">
        <v>36</v>
      </c>
      <c r="B2" t="s">
        <v>57</v>
      </c>
      <c r="C2" t="s">
        <v>132</v>
      </c>
    </row>
    <row r="3" spans="1:20" x14ac:dyDescent="0.3">
      <c r="A3" t="s">
        <v>55</v>
      </c>
      <c r="B3" t="s">
        <v>54</v>
      </c>
      <c r="C3" t="s">
        <v>133</v>
      </c>
      <c r="Q3" s="64" t="s">
        <v>56</v>
      </c>
      <c r="R3" s="67"/>
      <c r="S3" s="67"/>
      <c r="T3" s="67"/>
    </row>
    <row r="4" spans="1:20" x14ac:dyDescent="0.3">
      <c r="A4" t="s">
        <v>53</v>
      </c>
      <c r="B4" t="s">
        <v>52</v>
      </c>
      <c r="C4" t="s">
        <v>134</v>
      </c>
      <c r="Q4" s="67"/>
      <c r="R4" s="67"/>
      <c r="S4" s="67"/>
      <c r="T4" s="67"/>
    </row>
    <row r="5" spans="1:20" x14ac:dyDescent="0.3">
      <c r="A5" t="s">
        <v>51</v>
      </c>
      <c r="B5" t="s">
        <v>48</v>
      </c>
      <c r="C5" t="s">
        <v>135</v>
      </c>
      <c r="Q5" s="67"/>
      <c r="R5" s="67"/>
      <c r="S5" s="67"/>
      <c r="T5" s="67"/>
    </row>
    <row r="6" spans="1:20" x14ac:dyDescent="0.3">
      <c r="A6" t="s">
        <v>49</v>
      </c>
      <c r="B6" t="s">
        <v>50</v>
      </c>
      <c r="C6" t="s">
        <v>136</v>
      </c>
      <c r="Q6" s="67"/>
      <c r="R6" s="67"/>
      <c r="S6" s="67"/>
      <c r="T6" s="67"/>
    </row>
    <row r="7" spans="1:20" x14ac:dyDescent="0.3">
      <c r="A7" t="s">
        <v>49</v>
      </c>
      <c r="B7" t="s">
        <v>48</v>
      </c>
      <c r="C7" t="s">
        <v>137</v>
      </c>
      <c r="Q7" s="67"/>
      <c r="R7" s="67"/>
      <c r="S7" s="67"/>
      <c r="T7" s="67"/>
    </row>
    <row r="8" spans="1:20" x14ac:dyDescent="0.3">
      <c r="A8" t="s">
        <v>47</v>
      </c>
      <c r="B8" t="s">
        <v>46</v>
      </c>
      <c r="C8" t="s">
        <v>138</v>
      </c>
      <c r="Q8" s="67"/>
      <c r="R8" s="67"/>
      <c r="S8" s="67"/>
      <c r="T8" s="67"/>
    </row>
    <row r="9" spans="1:20" x14ac:dyDescent="0.3">
      <c r="A9" t="s">
        <v>45</v>
      </c>
      <c r="B9" t="s">
        <v>44</v>
      </c>
      <c r="C9" t="s">
        <v>139</v>
      </c>
      <c r="Q9" s="67"/>
      <c r="R9" s="67"/>
      <c r="S9" s="67"/>
      <c r="T9" s="67"/>
    </row>
    <row r="10" spans="1:20" x14ac:dyDescent="0.3">
      <c r="A10" t="s">
        <v>44</v>
      </c>
      <c r="B10" t="s">
        <v>43</v>
      </c>
      <c r="C10" t="s">
        <v>140</v>
      </c>
      <c r="Q10" s="67"/>
      <c r="R10" s="67"/>
      <c r="S10" s="67"/>
      <c r="T10" s="67"/>
    </row>
    <row r="11" spans="1:20" x14ac:dyDescent="0.3">
      <c r="A11" t="s">
        <v>42</v>
      </c>
      <c r="B11" t="s">
        <v>41</v>
      </c>
      <c r="C11" t="s">
        <v>141</v>
      </c>
      <c r="Q11" s="67"/>
      <c r="R11" s="67"/>
      <c r="S11" s="67"/>
      <c r="T11" s="67"/>
    </row>
    <row r="12" spans="1:20" x14ac:dyDescent="0.3">
      <c r="A12" t="s">
        <v>40</v>
      </c>
      <c r="B12" t="s">
        <v>39</v>
      </c>
      <c r="C12" t="s">
        <v>142</v>
      </c>
      <c r="Q12" s="67"/>
      <c r="R12" s="67"/>
      <c r="S12" s="67"/>
      <c r="T12" s="67"/>
    </row>
    <row r="13" spans="1:20" x14ac:dyDescent="0.3">
      <c r="A13" t="s">
        <v>38</v>
      </c>
      <c r="B13" t="s">
        <v>37</v>
      </c>
      <c r="C13" t="s">
        <v>143</v>
      </c>
      <c r="Q13" s="67"/>
      <c r="R13" s="67"/>
      <c r="S13" s="67"/>
      <c r="T13" s="67"/>
    </row>
    <row r="14" spans="1:20" x14ac:dyDescent="0.3">
      <c r="A14" t="s">
        <v>36</v>
      </c>
      <c r="B14" t="s">
        <v>35</v>
      </c>
      <c r="C14" t="s">
        <v>144</v>
      </c>
      <c r="Q14" s="67"/>
      <c r="R14" s="67"/>
      <c r="S14" s="67"/>
      <c r="T14" s="67"/>
    </row>
    <row r="15" spans="1:20" x14ac:dyDescent="0.3">
      <c r="A15" t="s">
        <v>34</v>
      </c>
      <c r="B15" t="s">
        <v>33</v>
      </c>
      <c r="C15" t="s">
        <v>145</v>
      </c>
      <c r="Q15" s="67"/>
      <c r="R15" s="67"/>
      <c r="S15" s="67"/>
      <c r="T15" s="67"/>
    </row>
    <row r="16" spans="1:20" x14ac:dyDescent="0.3">
      <c r="A16" t="s">
        <v>32</v>
      </c>
      <c r="B16" t="s">
        <v>31</v>
      </c>
      <c r="C16" t="s">
        <v>146</v>
      </c>
      <c r="Q16" s="67"/>
      <c r="R16" s="67"/>
      <c r="S16" s="67"/>
      <c r="T16" s="67"/>
    </row>
    <row r="17" spans="17:20" x14ac:dyDescent="0.3">
      <c r="Q17" s="67"/>
      <c r="R17" s="67"/>
      <c r="S17" s="67"/>
      <c r="T17" s="67"/>
    </row>
    <row r="18" spans="17:20" x14ac:dyDescent="0.3">
      <c r="Q18" s="67"/>
      <c r="R18" s="67"/>
      <c r="S18" s="67"/>
      <c r="T18" s="67"/>
    </row>
    <row r="19" spans="17:20" x14ac:dyDescent="0.3">
      <c r="Q19" s="67"/>
      <c r="R19" s="67"/>
      <c r="S19" s="67"/>
      <c r="T19" s="67"/>
    </row>
    <row r="20" spans="17:20" x14ac:dyDescent="0.3">
      <c r="Q20" s="67"/>
      <c r="R20" s="67"/>
      <c r="S20" s="67"/>
      <c r="T20" s="67"/>
    </row>
    <row r="21" spans="17:20" x14ac:dyDescent="0.3">
      <c r="Q21" s="67"/>
      <c r="R21" s="67"/>
      <c r="S21" s="67"/>
      <c r="T21" s="67"/>
    </row>
    <row r="22" spans="17:20" x14ac:dyDescent="0.3">
      <c r="Q22" s="67"/>
      <c r="R22" s="67"/>
      <c r="S22" s="67"/>
      <c r="T22" s="67"/>
    </row>
  </sheetData>
  <mergeCells count="1">
    <mergeCell ref="Q3:T22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C25AC-AF20-4A8D-9009-78F8F4B8F0BB}">
  <dimension ref="A1:J10"/>
  <sheetViews>
    <sheetView workbookViewId="0">
      <selection activeCell="I33" sqref="I33"/>
    </sheetView>
  </sheetViews>
  <sheetFormatPr defaultRowHeight="14.4" x14ac:dyDescent="0.3"/>
  <cols>
    <col min="1" max="1" width="37.33203125" customWidth="1"/>
    <col min="2" max="2" width="10.33203125" bestFit="1" customWidth="1"/>
    <col min="3" max="3" width="16.88671875" bestFit="1" customWidth="1"/>
    <col min="4" max="4" width="16.88671875" customWidth="1"/>
    <col min="5" max="5" width="11.44140625" bestFit="1" customWidth="1"/>
    <col min="6" max="6" width="12.6640625" bestFit="1" customWidth="1"/>
    <col min="7" max="7" width="12.44140625" customWidth="1"/>
    <col min="8" max="8" width="18.44140625" bestFit="1" customWidth="1"/>
    <col min="9" max="9" width="26" bestFit="1" customWidth="1"/>
    <col min="10" max="10" width="17.88671875" bestFit="1" customWidth="1"/>
  </cols>
  <sheetData>
    <row r="1" spans="1:10" x14ac:dyDescent="0.3">
      <c r="A1" s="26" t="s">
        <v>147</v>
      </c>
      <c r="B1" s="26" t="s">
        <v>148</v>
      </c>
      <c r="C1" s="26" t="s">
        <v>149</v>
      </c>
      <c r="D1" s="24" t="s">
        <v>150</v>
      </c>
      <c r="E1" s="26" t="s">
        <v>151</v>
      </c>
      <c r="F1" s="24" t="s">
        <v>152</v>
      </c>
      <c r="G1" s="26" t="s">
        <v>153</v>
      </c>
      <c r="H1" s="24" t="s">
        <v>154</v>
      </c>
      <c r="I1" s="24" t="s">
        <v>155</v>
      </c>
      <c r="J1" s="24" t="s">
        <v>156</v>
      </c>
    </row>
    <row r="2" spans="1:10" x14ac:dyDescent="0.3">
      <c r="A2" t="s">
        <v>157</v>
      </c>
      <c r="B2" s="29">
        <v>15</v>
      </c>
      <c r="C2" s="29">
        <v>2</v>
      </c>
      <c r="D2" s="28">
        <f>SUM(B2,C2)</f>
        <v>17</v>
      </c>
      <c r="E2">
        <v>5</v>
      </c>
      <c r="F2" s="28">
        <f>PRODUCT(D2,E2)</f>
        <v>85</v>
      </c>
      <c r="G2" s="27">
        <v>0.05</v>
      </c>
      <c r="H2" s="30">
        <f>G2*F2</f>
        <v>4.25</v>
      </c>
      <c r="I2" s="30">
        <f>F2-H2</f>
        <v>80.75</v>
      </c>
      <c r="J2" s="30">
        <f>I2/E2</f>
        <v>16.149999999999999</v>
      </c>
    </row>
    <row r="3" spans="1:10" x14ac:dyDescent="0.3">
      <c r="A3" t="s">
        <v>158</v>
      </c>
      <c r="B3" s="29">
        <v>300</v>
      </c>
      <c r="C3" s="29">
        <v>3</v>
      </c>
      <c r="D3" s="28">
        <f t="shared" ref="D3:D8" si="0">SUM(B3,C3)</f>
        <v>303</v>
      </c>
      <c r="E3">
        <v>2</v>
      </c>
      <c r="F3" s="28">
        <f t="shared" ref="F3:F8" si="1">PRODUCT(D3,E3)</f>
        <v>606</v>
      </c>
      <c r="G3" s="27">
        <v>0</v>
      </c>
      <c r="H3" s="30">
        <f t="shared" ref="H3:H8" si="2">G3*F3</f>
        <v>0</v>
      </c>
      <c r="I3" s="30">
        <f t="shared" ref="I3:I8" si="3">F3-H3</f>
        <v>606</v>
      </c>
      <c r="J3" s="30">
        <f t="shared" ref="J3:J8" si="4">I3/E3</f>
        <v>303</v>
      </c>
    </row>
    <row r="4" spans="1:10" x14ac:dyDescent="0.3">
      <c r="A4" t="s">
        <v>159</v>
      </c>
      <c r="B4" s="29">
        <v>25.5</v>
      </c>
      <c r="C4" s="29">
        <v>1</v>
      </c>
      <c r="D4" s="28">
        <f t="shared" si="0"/>
        <v>26.5</v>
      </c>
      <c r="E4">
        <v>4</v>
      </c>
      <c r="F4" s="28">
        <f t="shared" si="1"/>
        <v>106</v>
      </c>
      <c r="G4" s="27">
        <v>0.1</v>
      </c>
      <c r="H4" s="30">
        <f t="shared" si="2"/>
        <v>10.600000000000001</v>
      </c>
      <c r="I4" s="30">
        <f t="shared" si="3"/>
        <v>95.4</v>
      </c>
      <c r="J4" s="30">
        <f t="shared" si="4"/>
        <v>23.85</v>
      </c>
    </row>
    <row r="5" spans="1:10" x14ac:dyDescent="0.3">
      <c r="A5" t="s">
        <v>160</v>
      </c>
      <c r="B5" s="29">
        <v>18</v>
      </c>
      <c r="C5" s="29">
        <v>2</v>
      </c>
      <c r="D5" s="28">
        <f t="shared" si="0"/>
        <v>20</v>
      </c>
      <c r="E5">
        <v>9</v>
      </c>
      <c r="F5" s="28">
        <f t="shared" si="1"/>
        <v>180</v>
      </c>
      <c r="G5" s="27">
        <v>0.15</v>
      </c>
      <c r="H5" s="30">
        <f t="shared" si="2"/>
        <v>27</v>
      </c>
      <c r="I5" s="30">
        <f t="shared" si="3"/>
        <v>153</v>
      </c>
      <c r="J5" s="30">
        <f t="shared" si="4"/>
        <v>17</v>
      </c>
    </row>
    <row r="6" spans="1:10" x14ac:dyDescent="0.3">
      <c r="A6" t="s">
        <v>161</v>
      </c>
      <c r="B6" s="29">
        <v>36.9</v>
      </c>
      <c r="C6" s="29">
        <v>4</v>
      </c>
      <c r="D6" s="28">
        <f t="shared" si="0"/>
        <v>40.9</v>
      </c>
      <c r="E6">
        <v>10</v>
      </c>
      <c r="F6" s="28">
        <f t="shared" si="1"/>
        <v>409</v>
      </c>
      <c r="G6" s="27">
        <v>0</v>
      </c>
      <c r="H6" s="30">
        <f t="shared" si="2"/>
        <v>0</v>
      </c>
      <c r="I6" s="30">
        <f t="shared" si="3"/>
        <v>409</v>
      </c>
      <c r="J6" s="30">
        <f t="shared" si="4"/>
        <v>40.9</v>
      </c>
    </row>
    <row r="7" spans="1:10" x14ac:dyDescent="0.3">
      <c r="A7" t="s">
        <v>162</v>
      </c>
      <c r="B7" s="29">
        <v>72</v>
      </c>
      <c r="C7" s="29">
        <v>5</v>
      </c>
      <c r="D7" s="28">
        <f t="shared" si="0"/>
        <v>77</v>
      </c>
      <c r="E7">
        <v>2</v>
      </c>
      <c r="F7" s="28">
        <f t="shared" si="1"/>
        <v>154</v>
      </c>
      <c r="G7" s="27">
        <v>0.05</v>
      </c>
      <c r="H7" s="30">
        <f t="shared" si="2"/>
        <v>7.7</v>
      </c>
      <c r="I7" s="30">
        <f t="shared" si="3"/>
        <v>146.30000000000001</v>
      </c>
      <c r="J7" s="30">
        <f t="shared" si="4"/>
        <v>73.150000000000006</v>
      </c>
    </row>
    <row r="8" spans="1:10" x14ac:dyDescent="0.3">
      <c r="A8" t="s">
        <v>163</v>
      </c>
      <c r="B8" s="29">
        <v>48.5</v>
      </c>
      <c r="C8" s="29">
        <v>1</v>
      </c>
      <c r="D8" s="28">
        <f t="shared" si="0"/>
        <v>49.5</v>
      </c>
      <c r="E8">
        <v>3</v>
      </c>
      <c r="F8" s="28">
        <f t="shared" si="1"/>
        <v>148.5</v>
      </c>
      <c r="G8" s="27">
        <v>0.02</v>
      </c>
      <c r="H8" s="30">
        <f t="shared" si="2"/>
        <v>2.97</v>
      </c>
      <c r="I8" s="30">
        <f t="shared" si="3"/>
        <v>145.53</v>
      </c>
      <c r="J8" s="30">
        <f t="shared" si="4"/>
        <v>48.51</v>
      </c>
    </row>
    <row r="10" spans="1:10" x14ac:dyDescent="0.3">
      <c r="D10" s="24" t="s">
        <v>164</v>
      </c>
      <c r="F10" s="24" t="s">
        <v>165</v>
      </c>
      <c r="H10" s="24" t="s">
        <v>165</v>
      </c>
      <c r="I10" s="24" t="s">
        <v>166</v>
      </c>
      <c r="J10" s="24" t="s">
        <v>167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7FB8A-2EBE-4427-AADC-FA82702F9F06}">
  <dimension ref="A1:I11"/>
  <sheetViews>
    <sheetView workbookViewId="0">
      <selection activeCell="H13" sqref="H13"/>
    </sheetView>
  </sheetViews>
  <sheetFormatPr defaultRowHeight="14.4" x14ac:dyDescent="0.3"/>
  <cols>
    <col min="1" max="1" width="37.33203125" customWidth="1"/>
    <col min="2" max="2" width="10.33203125" bestFit="1" customWidth="1"/>
    <col min="3" max="3" width="16.88671875" bestFit="1" customWidth="1"/>
    <col min="4" max="4" width="16.88671875" customWidth="1"/>
    <col min="5" max="5" width="11.44140625" bestFit="1" customWidth="1"/>
    <col min="6" max="6" width="12.6640625" bestFit="1" customWidth="1"/>
    <col min="7" max="7" width="17.88671875" bestFit="1" customWidth="1"/>
    <col min="8" max="8" width="18.44140625" bestFit="1" customWidth="1"/>
    <col min="9" max="9" width="26" bestFit="1" customWidth="1"/>
    <col min="10" max="10" width="17.88671875" bestFit="1" customWidth="1"/>
  </cols>
  <sheetData>
    <row r="1" spans="1:9" x14ac:dyDescent="0.3">
      <c r="A1" s="26" t="s">
        <v>147</v>
      </c>
      <c r="B1" s="26" t="s">
        <v>148</v>
      </c>
      <c r="C1" s="26" t="s">
        <v>149</v>
      </c>
      <c r="D1" s="26" t="s">
        <v>151</v>
      </c>
      <c r="E1" s="24" t="s">
        <v>152</v>
      </c>
      <c r="F1" s="26" t="s">
        <v>153</v>
      </c>
      <c r="G1" s="24" t="s">
        <v>156</v>
      </c>
    </row>
    <row r="2" spans="1:9" x14ac:dyDescent="0.3">
      <c r="A2" t="s">
        <v>157</v>
      </c>
      <c r="B2" s="29">
        <v>15</v>
      </c>
      <c r="C2" s="29">
        <v>2</v>
      </c>
      <c r="D2">
        <v>5</v>
      </c>
      <c r="E2" s="28">
        <f>(B2+C2)*D2</f>
        <v>85</v>
      </c>
      <c r="F2" s="27">
        <v>0.05</v>
      </c>
      <c r="G2" s="30">
        <f>((F2*E2)-E2)/D2</f>
        <v>-16.149999999999999</v>
      </c>
      <c r="I2" t="b">
        <f>B5&lt;C5</f>
        <v>0</v>
      </c>
    </row>
    <row r="3" spans="1:9" x14ac:dyDescent="0.3">
      <c r="A3" t="s">
        <v>158</v>
      </c>
      <c r="B3" s="29">
        <v>300</v>
      </c>
      <c r="C3" s="29">
        <v>3</v>
      </c>
      <c r="D3">
        <v>2</v>
      </c>
      <c r="E3" s="28">
        <f t="shared" ref="E3:E8" si="0">(B3+C3)*D3</f>
        <v>606</v>
      </c>
      <c r="F3" s="27">
        <v>0</v>
      </c>
      <c r="G3" s="30">
        <f t="shared" ref="G3:G8" si="1">((F3*E3)-E3)/D3</f>
        <v>-303</v>
      </c>
      <c r="I3" t="b">
        <f>B5&gt;C5</f>
        <v>1</v>
      </c>
    </row>
    <row r="4" spans="1:9" x14ac:dyDescent="0.3">
      <c r="A4" t="s">
        <v>159</v>
      </c>
      <c r="B4" s="29">
        <v>25.5</v>
      </c>
      <c r="C4" s="29">
        <v>1</v>
      </c>
      <c r="D4">
        <v>4</v>
      </c>
      <c r="E4" s="28">
        <f t="shared" si="0"/>
        <v>106</v>
      </c>
      <c r="F4" s="27">
        <v>0.1</v>
      </c>
      <c r="G4" s="30">
        <f t="shared" si="1"/>
        <v>-23.85</v>
      </c>
    </row>
    <row r="5" spans="1:9" x14ac:dyDescent="0.3">
      <c r="A5" t="s">
        <v>160</v>
      </c>
      <c r="B5" s="29">
        <v>18</v>
      </c>
      <c r="C5" s="29">
        <v>2</v>
      </c>
      <c r="D5">
        <v>9</v>
      </c>
      <c r="E5" s="28">
        <f t="shared" si="0"/>
        <v>180</v>
      </c>
      <c r="F5" s="27">
        <v>0.15</v>
      </c>
      <c r="G5" s="30">
        <f t="shared" si="1"/>
        <v>-17</v>
      </c>
    </row>
    <row r="6" spans="1:9" x14ac:dyDescent="0.3">
      <c r="A6" t="s">
        <v>161</v>
      </c>
      <c r="B6" s="29">
        <v>36.9</v>
      </c>
      <c r="C6" s="29">
        <v>4</v>
      </c>
      <c r="D6">
        <v>10</v>
      </c>
      <c r="E6" s="28">
        <f t="shared" si="0"/>
        <v>409</v>
      </c>
      <c r="F6" s="27">
        <v>0</v>
      </c>
      <c r="G6" s="30">
        <f t="shared" si="1"/>
        <v>-40.9</v>
      </c>
    </row>
    <row r="7" spans="1:9" x14ac:dyDescent="0.3">
      <c r="A7" t="s">
        <v>162</v>
      </c>
      <c r="B7" s="29">
        <v>72</v>
      </c>
      <c r="C7" s="29">
        <v>5</v>
      </c>
      <c r="D7">
        <v>2</v>
      </c>
      <c r="E7" s="28">
        <f t="shared" si="0"/>
        <v>154</v>
      </c>
      <c r="F7" s="27">
        <v>0.05</v>
      </c>
      <c r="G7" s="30">
        <f t="shared" si="1"/>
        <v>-73.150000000000006</v>
      </c>
    </row>
    <row r="8" spans="1:9" x14ac:dyDescent="0.3">
      <c r="A8" t="s">
        <v>163</v>
      </c>
      <c r="B8" s="29">
        <v>48.5</v>
      </c>
      <c r="C8" s="29">
        <v>1</v>
      </c>
      <c r="D8">
        <v>3</v>
      </c>
      <c r="E8" s="28">
        <f t="shared" si="0"/>
        <v>148.5</v>
      </c>
      <c r="F8" s="27">
        <v>0.02</v>
      </c>
      <c r="G8" s="30">
        <f t="shared" si="1"/>
        <v>-48.51</v>
      </c>
    </row>
    <row r="9" spans="1:9" x14ac:dyDescent="0.3">
      <c r="B9">
        <f t="shared" ref="B9:G9" si="2">SUM(B2:B8)</f>
        <v>515.9</v>
      </c>
      <c r="C9">
        <f t="shared" si="2"/>
        <v>18</v>
      </c>
      <c r="D9">
        <f t="shared" si="2"/>
        <v>35</v>
      </c>
      <c r="E9">
        <f t="shared" si="2"/>
        <v>1688.5</v>
      </c>
      <c r="F9">
        <f t="shared" si="2"/>
        <v>0.37000000000000005</v>
      </c>
      <c r="G9">
        <f t="shared" si="2"/>
        <v>-522.55999999999995</v>
      </c>
    </row>
    <row r="10" spans="1:9" x14ac:dyDescent="0.3">
      <c r="E10" s="24" t="s">
        <v>165</v>
      </c>
      <c r="G10" s="24" t="s">
        <v>167</v>
      </c>
    </row>
    <row r="11" spans="1:9" x14ac:dyDescent="0.3">
      <c r="D11">
        <f>SUMIF(D2:D8,"&gt;2",D2:D8)</f>
        <v>31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892D7-AB74-42F0-8B32-EFB68FA3F683}">
  <dimension ref="A1:E17"/>
  <sheetViews>
    <sheetView workbookViewId="0">
      <selection activeCell="E6" sqref="E6"/>
    </sheetView>
  </sheetViews>
  <sheetFormatPr defaultColWidth="28.88671875" defaultRowHeight="14.4" x14ac:dyDescent="0.3"/>
  <cols>
    <col min="1" max="1" width="10.6640625" style="37" bestFit="1" customWidth="1"/>
    <col min="2" max="2" width="13.5546875" style="33" bestFit="1" customWidth="1"/>
    <col min="3" max="3" width="10.6640625" style="33" bestFit="1" customWidth="1"/>
    <col min="4" max="16384" width="28.88671875" style="33"/>
  </cols>
  <sheetData>
    <row r="1" spans="1:5" x14ac:dyDescent="0.3">
      <c r="A1" s="31" t="s">
        <v>168</v>
      </c>
      <c r="B1" s="32" t="s">
        <v>169</v>
      </c>
      <c r="C1" s="32" t="s">
        <v>4</v>
      </c>
    </row>
    <row r="2" spans="1:5" x14ac:dyDescent="0.3">
      <c r="A2" s="34">
        <v>44379</v>
      </c>
      <c r="B2" s="35" t="s">
        <v>170</v>
      </c>
      <c r="C2" s="36">
        <v>75</v>
      </c>
    </row>
    <row r="3" spans="1:5" x14ac:dyDescent="0.3">
      <c r="A3" s="34">
        <v>44382</v>
      </c>
      <c r="B3" s="35" t="s">
        <v>170</v>
      </c>
      <c r="C3" s="36">
        <v>100</v>
      </c>
      <c r="E3" s="32" t="s">
        <v>171</v>
      </c>
    </row>
    <row r="4" spans="1:5" x14ac:dyDescent="0.3">
      <c r="A4" s="34">
        <v>44382</v>
      </c>
      <c r="B4" s="35" t="s">
        <v>172</v>
      </c>
      <c r="C4" s="36">
        <v>39.9</v>
      </c>
      <c r="E4" s="38">
        <f>SUM(C2:C17)</f>
        <v>2562.33</v>
      </c>
    </row>
    <row r="5" spans="1:5" x14ac:dyDescent="0.3">
      <c r="A5" s="34">
        <v>44383</v>
      </c>
      <c r="B5" s="35" t="s">
        <v>170</v>
      </c>
      <c r="C5" s="36">
        <v>150</v>
      </c>
      <c r="E5" s="38">
        <f>SUM(C2:C17)</f>
        <v>2562.33</v>
      </c>
    </row>
    <row r="6" spans="1:5" x14ac:dyDescent="0.3">
      <c r="A6" s="34">
        <v>44382</v>
      </c>
      <c r="B6" s="35" t="s">
        <v>173</v>
      </c>
      <c r="C6" s="36">
        <v>20</v>
      </c>
    </row>
    <row r="7" spans="1:5" x14ac:dyDescent="0.3">
      <c r="A7" s="34">
        <v>44384</v>
      </c>
      <c r="B7" s="35" t="s">
        <v>174</v>
      </c>
      <c r="C7" s="36">
        <v>50.43</v>
      </c>
    </row>
    <row r="8" spans="1:5" x14ac:dyDescent="0.3">
      <c r="A8" s="34">
        <v>44383</v>
      </c>
      <c r="B8" s="35" t="s">
        <v>175</v>
      </c>
      <c r="C8" s="36">
        <v>28</v>
      </c>
    </row>
    <row r="9" spans="1:5" x14ac:dyDescent="0.3">
      <c r="A9" s="34">
        <v>44385</v>
      </c>
      <c r="B9" s="35" t="s">
        <v>170</v>
      </c>
      <c r="C9" s="36">
        <v>75</v>
      </c>
    </row>
    <row r="10" spans="1:5" x14ac:dyDescent="0.3">
      <c r="A10" s="34">
        <v>44384</v>
      </c>
      <c r="B10" s="35" t="s">
        <v>170</v>
      </c>
      <c r="C10" s="36">
        <v>200</v>
      </c>
    </row>
    <row r="11" spans="1:5" x14ac:dyDescent="0.3">
      <c r="A11" s="34">
        <v>44383</v>
      </c>
      <c r="B11" s="35" t="s">
        <v>176</v>
      </c>
      <c r="C11" s="36">
        <v>1000</v>
      </c>
    </row>
    <row r="12" spans="1:5" x14ac:dyDescent="0.3">
      <c r="A12" s="34">
        <v>44385</v>
      </c>
      <c r="B12" s="35" t="s">
        <v>170</v>
      </c>
      <c r="C12" s="36">
        <v>75</v>
      </c>
    </row>
    <row r="13" spans="1:5" x14ac:dyDescent="0.3">
      <c r="A13" s="34">
        <v>44385</v>
      </c>
      <c r="B13" s="35" t="s">
        <v>175</v>
      </c>
      <c r="C13" s="36">
        <v>36</v>
      </c>
    </row>
    <row r="14" spans="1:5" x14ac:dyDescent="0.3">
      <c r="A14" s="34">
        <v>44385</v>
      </c>
      <c r="B14" s="35" t="s">
        <v>170</v>
      </c>
      <c r="C14" s="36">
        <v>75</v>
      </c>
    </row>
    <row r="15" spans="1:5" x14ac:dyDescent="0.3">
      <c r="A15" s="34">
        <v>44386</v>
      </c>
      <c r="B15" s="35" t="s">
        <v>170</v>
      </c>
      <c r="C15" s="36">
        <v>100</v>
      </c>
    </row>
    <row r="16" spans="1:5" x14ac:dyDescent="0.3">
      <c r="A16" s="34">
        <v>44385</v>
      </c>
      <c r="B16" s="35" t="s">
        <v>176</v>
      </c>
      <c r="C16" s="36">
        <v>288</v>
      </c>
    </row>
    <row r="17" spans="1:3" x14ac:dyDescent="0.3">
      <c r="A17" s="34">
        <v>44386</v>
      </c>
      <c r="B17" s="35" t="s">
        <v>170</v>
      </c>
      <c r="C17" s="36">
        <v>250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46123-C002-4511-86A7-4E41EA79C44B}">
  <dimension ref="A1:E17"/>
  <sheetViews>
    <sheetView workbookViewId="0">
      <selection activeCell="E4" sqref="E4"/>
    </sheetView>
  </sheetViews>
  <sheetFormatPr defaultColWidth="28.88671875" defaultRowHeight="14.4" x14ac:dyDescent="0.3"/>
  <cols>
    <col min="1" max="1" width="10.6640625" style="37" bestFit="1" customWidth="1"/>
    <col min="2" max="2" width="13.5546875" style="33" bestFit="1" customWidth="1"/>
    <col min="3" max="3" width="10.6640625" style="33" bestFit="1" customWidth="1"/>
    <col min="4" max="16384" width="28.88671875" style="33"/>
  </cols>
  <sheetData>
    <row r="1" spans="1:5" x14ac:dyDescent="0.3">
      <c r="A1" s="31" t="s">
        <v>168</v>
      </c>
      <c r="B1" s="32" t="s">
        <v>169</v>
      </c>
      <c r="C1" s="32" t="s">
        <v>4</v>
      </c>
    </row>
    <row r="2" spans="1:5" x14ac:dyDescent="0.3">
      <c r="A2" s="37">
        <v>44426</v>
      </c>
      <c r="B2" s="35" t="s">
        <v>170</v>
      </c>
      <c r="C2" s="36">
        <v>672</v>
      </c>
    </row>
    <row r="3" spans="1:5" x14ac:dyDescent="0.3">
      <c r="A3" s="37">
        <v>44425</v>
      </c>
      <c r="B3" s="35" t="s">
        <v>170</v>
      </c>
      <c r="C3" s="36">
        <v>215</v>
      </c>
      <c r="E3" s="32" t="s">
        <v>171</v>
      </c>
    </row>
    <row r="4" spans="1:5" x14ac:dyDescent="0.3">
      <c r="A4" s="37">
        <v>44435</v>
      </c>
      <c r="B4" s="35" t="s">
        <v>172</v>
      </c>
      <c r="C4" s="36">
        <v>462</v>
      </c>
      <c r="E4" s="38">
        <f>SUM(C2:C17)</f>
        <v>7211</v>
      </c>
    </row>
    <row r="5" spans="1:5" x14ac:dyDescent="0.3">
      <c r="A5" s="37">
        <v>44423</v>
      </c>
      <c r="B5" s="35" t="s">
        <v>170</v>
      </c>
      <c r="C5" s="36">
        <v>658</v>
      </c>
    </row>
    <row r="6" spans="1:5" x14ac:dyDescent="0.3">
      <c r="A6" s="37">
        <v>44431</v>
      </c>
      <c r="B6" s="35" t="s">
        <v>173</v>
      </c>
      <c r="C6" s="36">
        <v>303</v>
      </c>
    </row>
    <row r="7" spans="1:5" x14ac:dyDescent="0.3">
      <c r="A7" s="37">
        <v>44411</v>
      </c>
      <c r="B7" s="35" t="s">
        <v>174</v>
      </c>
      <c r="C7" s="36">
        <v>344</v>
      </c>
    </row>
    <row r="8" spans="1:5" x14ac:dyDescent="0.3">
      <c r="A8" s="37">
        <v>44424</v>
      </c>
      <c r="B8" s="35" t="s">
        <v>175</v>
      </c>
      <c r="C8" s="36">
        <v>333</v>
      </c>
    </row>
    <row r="9" spans="1:5" x14ac:dyDescent="0.3">
      <c r="A9" s="37">
        <v>44413</v>
      </c>
      <c r="B9" s="35" t="s">
        <v>170</v>
      </c>
      <c r="C9" s="36">
        <v>565</v>
      </c>
    </row>
    <row r="10" spans="1:5" x14ac:dyDescent="0.3">
      <c r="A10" s="37">
        <v>44434</v>
      </c>
      <c r="B10" s="35" t="s">
        <v>170</v>
      </c>
      <c r="C10" s="36">
        <v>962</v>
      </c>
    </row>
    <row r="11" spans="1:5" x14ac:dyDescent="0.3">
      <c r="A11" s="37">
        <v>44438</v>
      </c>
      <c r="B11" s="35" t="s">
        <v>176</v>
      </c>
      <c r="C11" s="36">
        <v>158</v>
      </c>
    </row>
    <row r="12" spans="1:5" x14ac:dyDescent="0.3">
      <c r="A12" s="37">
        <v>44412</v>
      </c>
      <c r="B12" s="35" t="s">
        <v>170</v>
      </c>
      <c r="C12" s="36">
        <v>151</v>
      </c>
    </row>
    <row r="13" spans="1:5" x14ac:dyDescent="0.3">
      <c r="A13" s="37">
        <v>44438</v>
      </c>
      <c r="B13" s="35" t="s">
        <v>175</v>
      </c>
      <c r="C13" s="36">
        <v>152</v>
      </c>
    </row>
    <row r="14" spans="1:5" x14ac:dyDescent="0.3">
      <c r="A14" s="37">
        <v>44433</v>
      </c>
      <c r="B14" s="35" t="s">
        <v>170</v>
      </c>
      <c r="C14" s="36">
        <v>954</v>
      </c>
    </row>
    <row r="15" spans="1:5" x14ac:dyDescent="0.3">
      <c r="A15" s="37">
        <v>44414</v>
      </c>
      <c r="B15" s="35" t="s">
        <v>170</v>
      </c>
      <c r="C15" s="36">
        <v>463</v>
      </c>
    </row>
    <row r="16" spans="1:5" x14ac:dyDescent="0.3">
      <c r="A16" s="37">
        <v>44419</v>
      </c>
      <c r="B16" s="35" t="s">
        <v>176</v>
      </c>
      <c r="C16" s="36">
        <v>345</v>
      </c>
    </row>
    <row r="17" spans="1:3" x14ac:dyDescent="0.3">
      <c r="A17" s="37">
        <v>44413</v>
      </c>
      <c r="B17" s="35" t="s">
        <v>170</v>
      </c>
      <c r="C17" s="36">
        <v>474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8E6AC-5DFA-47D0-95CD-E050DDF8F25C}">
  <dimension ref="A1:H27"/>
  <sheetViews>
    <sheetView topLeftCell="A4" workbookViewId="0">
      <selection activeCell="H24" sqref="H24"/>
    </sheetView>
  </sheetViews>
  <sheetFormatPr defaultColWidth="28.88671875" defaultRowHeight="14.4" x14ac:dyDescent="0.3"/>
  <cols>
    <col min="1" max="1" width="10.6640625" style="37" bestFit="1" customWidth="1"/>
    <col min="2" max="2" width="13.5546875" style="33" bestFit="1" customWidth="1"/>
    <col min="3" max="3" width="10.6640625" style="33" bestFit="1" customWidth="1"/>
    <col min="4" max="7" width="28.88671875" style="33"/>
    <col min="8" max="8" width="36.33203125" style="33" bestFit="1" customWidth="1"/>
    <col min="9" max="16384" width="28.88671875" style="33"/>
  </cols>
  <sheetData>
    <row r="1" spans="1:5" x14ac:dyDescent="0.3">
      <c r="A1" s="31" t="s">
        <v>168</v>
      </c>
      <c r="B1" s="32" t="s">
        <v>169</v>
      </c>
      <c r="C1" s="32" t="s">
        <v>4</v>
      </c>
    </row>
    <row r="2" spans="1:5" x14ac:dyDescent="0.3">
      <c r="A2" s="37">
        <v>44450</v>
      </c>
      <c r="B2" s="35" t="s">
        <v>174</v>
      </c>
      <c r="C2" s="36">
        <v>220</v>
      </c>
      <c r="E2" s="37"/>
    </row>
    <row r="3" spans="1:5" x14ac:dyDescent="0.3">
      <c r="A3" s="37">
        <v>44463</v>
      </c>
      <c r="B3" s="35" t="s">
        <v>170</v>
      </c>
      <c r="C3" s="36">
        <v>474</v>
      </c>
      <c r="E3" s="32" t="s">
        <v>171</v>
      </c>
    </row>
    <row r="4" spans="1:5" x14ac:dyDescent="0.3">
      <c r="A4" s="37">
        <v>44444</v>
      </c>
      <c r="B4" s="35" t="s">
        <v>170</v>
      </c>
      <c r="C4" s="36">
        <v>439</v>
      </c>
      <c r="E4" s="38">
        <f>SUM(C2:C17)</f>
        <v>8575</v>
      </c>
    </row>
    <row r="5" spans="1:5" x14ac:dyDescent="0.3">
      <c r="A5" s="37">
        <v>44441</v>
      </c>
      <c r="B5" s="35" t="s">
        <v>170</v>
      </c>
      <c r="C5" s="36">
        <v>134</v>
      </c>
    </row>
    <row r="6" spans="1:5" x14ac:dyDescent="0.3">
      <c r="A6" s="37">
        <v>44446</v>
      </c>
      <c r="B6" s="35" t="s">
        <v>170</v>
      </c>
      <c r="C6" s="36">
        <v>135</v>
      </c>
    </row>
    <row r="7" spans="1:5" x14ac:dyDescent="0.3">
      <c r="A7" s="37">
        <v>44459</v>
      </c>
      <c r="B7" s="35" t="s">
        <v>176</v>
      </c>
      <c r="C7" s="36">
        <v>278</v>
      </c>
    </row>
    <row r="8" spans="1:5" x14ac:dyDescent="0.3">
      <c r="A8" s="37">
        <v>44462</v>
      </c>
      <c r="B8" s="35" t="s">
        <v>170</v>
      </c>
      <c r="C8" s="36">
        <v>523</v>
      </c>
    </row>
    <row r="9" spans="1:5" x14ac:dyDescent="0.3">
      <c r="A9" s="37">
        <v>44463</v>
      </c>
      <c r="B9" s="35" t="s">
        <v>175</v>
      </c>
      <c r="C9" s="36">
        <v>844</v>
      </c>
    </row>
    <row r="10" spans="1:5" x14ac:dyDescent="0.3">
      <c r="A10" s="37">
        <v>44455</v>
      </c>
      <c r="B10" s="35" t="s">
        <v>170</v>
      </c>
      <c r="C10" s="36">
        <v>918</v>
      </c>
    </row>
    <row r="11" spans="1:5" x14ac:dyDescent="0.3">
      <c r="A11" s="37">
        <v>44461</v>
      </c>
      <c r="B11" s="35" t="s">
        <v>170</v>
      </c>
      <c r="C11" s="36">
        <v>158</v>
      </c>
    </row>
    <row r="12" spans="1:5" x14ac:dyDescent="0.3">
      <c r="A12" s="37">
        <v>44462</v>
      </c>
      <c r="B12" s="35" t="s">
        <v>173</v>
      </c>
      <c r="C12" s="36">
        <v>603</v>
      </c>
    </row>
    <row r="13" spans="1:5" x14ac:dyDescent="0.3">
      <c r="A13" s="37">
        <v>44463</v>
      </c>
      <c r="B13" s="35" t="s">
        <v>170</v>
      </c>
      <c r="C13" s="36">
        <v>773</v>
      </c>
    </row>
    <row r="14" spans="1:5" x14ac:dyDescent="0.3">
      <c r="A14" s="37">
        <v>44448</v>
      </c>
      <c r="B14" s="35" t="s">
        <v>170</v>
      </c>
      <c r="C14" s="36">
        <v>729</v>
      </c>
    </row>
    <row r="15" spans="1:5" x14ac:dyDescent="0.3">
      <c r="A15" s="37">
        <v>44440</v>
      </c>
      <c r="B15" s="35" t="s">
        <v>172</v>
      </c>
      <c r="C15" s="36">
        <v>931</v>
      </c>
    </row>
    <row r="16" spans="1:5" x14ac:dyDescent="0.3">
      <c r="A16" s="37">
        <v>44447</v>
      </c>
      <c r="B16" s="35" t="s">
        <v>176</v>
      </c>
      <c r="C16" s="36">
        <v>539</v>
      </c>
    </row>
    <row r="17" spans="1:8" x14ac:dyDescent="0.3">
      <c r="A17" s="37">
        <v>44443</v>
      </c>
      <c r="B17" s="35" t="s">
        <v>175</v>
      </c>
      <c r="C17" s="36">
        <v>877</v>
      </c>
    </row>
    <row r="18" spans="1:8" x14ac:dyDescent="0.3">
      <c r="E18" s="32" t="s">
        <v>192</v>
      </c>
      <c r="F18" s="38">
        <f>SUM(Mês9!E4,Mês7!E4,Mês8!E4)</f>
        <v>18348.330000000002</v>
      </c>
    </row>
    <row r="19" spans="1:8" x14ac:dyDescent="0.3">
      <c r="E19" s="32" t="s">
        <v>191</v>
      </c>
      <c r="F19" s="38">
        <f>ROUND(F18,0)</f>
        <v>18348</v>
      </c>
    </row>
    <row r="23" spans="1:8" x14ac:dyDescent="0.3">
      <c r="E23" s="33" t="s">
        <v>193</v>
      </c>
      <c r="F23" s="33" t="s">
        <v>198</v>
      </c>
      <c r="G23" s="33" t="s">
        <v>199</v>
      </c>
      <c r="H23" s="33" t="s">
        <v>200</v>
      </c>
    </row>
    <row r="24" spans="1:8" x14ac:dyDescent="0.3">
      <c r="E24" s="33" t="s">
        <v>194</v>
      </c>
      <c r="F24" s="33">
        <v>1.56</v>
      </c>
      <c r="G24" s="33">
        <f>ROUND(F24,0)</f>
        <v>2</v>
      </c>
      <c r="H24" s="33">
        <f>ROUND(F24,1)</f>
        <v>1.6</v>
      </c>
    </row>
    <row r="25" spans="1:8" x14ac:dyDescent="0.3">
      <c r="E25" s="33" t="s">
        <v>196</v>
      </c>
      <c r="F25" s="33">
        <v>3.97</v>
      </c>
      <c r="G25" s="33">
        <f>ROUNDDOWN(F25,0)</f>
        <v>3</v>
      </c>
      <c r="H25" s="33">
        <f>ROUNDDOWN(F25,1)</f>
        <v>3.9</v>
      </c>
    </row>
    <row r="26" spans="1:8" x14ac:dyDescent="0.3">
      <c r="E26" s="33" t="s">
        <v>195</v>
      </c>
      <c r="F26" s="33">
        <v>5.1100000000000003</v>
      </c>
      <c r="G26" s="33">
        <f>ROUNDUP(F26,0)</f>
        <v>6</v>
      </c>
      <c r="H26" s="33">
        <f>ROUNDUP(F26,1)</f>
        <v>5.1999999999999993</v>
      </c>
    </row>
    <row r="27" spans="1:8" x14ac:dyDescent="0.3">
      <c r="E27" s="33" t="s">
        <v>197</v>
      </c>
      <c r="F27" s="33">
        <v>10.146000000000001</v>
      </c>
      <c r="G27" s="33">
        <f>INT(F27)</f>
        <v>10</v>
      </c>
      <c r="H27" s="33">
        <f>INT(G27)</f>
        <v>10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9097B-71B3-49AA-9D74-59084A790D63}">
  <dimension ref="A1:F12"/>
  <sheetViews>
    <sheetView workbookViewId="0">
      <selection activeCell="E2" sqref="E2"/>
    </sheetView>
  </sheetViews>
  <sheetFormatPr defaultRowHeight="14.4" x14ac:dyDescent="0.3"/>
  <cols>
    <col min="1" max="1" width="16.33203125" bestFit="1" customWidth="1"/>
    <col min="2" max="2" width="16" bestFit="1" customWidth="1"/>
    <col min="4" max="4" width="17.88671875" bestFit="1" customWidth="1"/>
  </cols>
  <sheetData>
    <row r="1" spans="1:6" x14ac:dyDescent="0.3">
      <c r="A1" s="26" t="s">
        <v>177</v>
      </c>
      <c r="B1" s="26" t="s">
        <v>178</v>
      </c>
    </row>
    <row r="2" spans="1:6" x14ac:dyDescent="0.3">
      <c r="A2">
        <v>1</v>
      </c>
      <c r="B2" t="s">
        <v>179</v>
      </c>
      <c r="D2" s="39" t="s">
        <v>189</v>
      </c>
      <c r="E2">
        <v>9</v>
      </c>
    </row>
    <row r="3" spans="1:6" x14ac:dyDescent="0.3">
      <c r="A3">
        <v>2</v>
      </c>
      <c r="B3" t="s">
        <v>180</v>
      </c>
    </row>
    <row r="4" spans="1:6" x14ac:dyDescent="0.3">
      <c r="A4">
        <v>3</v>
      </c>
      <c r="B4" t="s">
        <v>181</v>
      </c>
    </row>
    <row r="5" spans="1:6" x14ac:dyDescent="0.3">
      <c r="A5">
        <v>4</v>
      </c>
      <c r="B5" t="s">
        <v>182</v>
      </c>
    </row>
    <row r="6" spans="1:6" x14ac:dyDescent="0.3">
      <c r="A6">
        <v>5</v>
      </c>
      <c r="B6" t="s">
        <v>183</v>
      </c>
      <c r="F6" t="s">
        <v>190</v>
      </c>
    </row>
    <row r="7" spans="1:6" x14ac:dyDescent="0.3">
      <c r="A7">
        <v>6</v>
      </c>
      <c r="B7" t="s">
        <v>184</v>
      </c>
    </row>
    <row r="8" spans="1:6" x14ac:dyDescent="0.3">
      <c r="A8">
        <v>7</v>
      </c>
      <c r="B8" t="s">
        <v>185</v>
      </c>
      <c r="F8" t="s">
        <v>190</v>
      </c>
    </row>
    <row r="9" spans="1:6" x14ac:dyDescent="0.3">
      <c r="A9">
        <v>8</v>
      </c>
      <c r="B9" t="s">
        <v>186</v>
      </c>
    </row>
    <row r="10" spans="1:6" x14ac:dyDescent="0.3">
      <c r="A10">
        <v>9</v>
      </c>
      <c r="B10" t="s">
        <v>187</v>
      </c>
    </row>
    <row r="11" spans="1:6" x14ac:dyDescent="0.3">
      <c r="A11">
        <v>10</v>
      </c>
      <c r="B11" t="s">
        <v>188</v>
      </c>
    </row>
    <row r="12" spans="1:6" x14ac:dyDescent="0.3">
      <c r="F12" t="s">
        <v>190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0BB4F-35CF-4F44-A058-84809F898F88}">
  <dimension ref="B1:F21"/>
  <sheetViews>
    <sheetView showGridLines="0" workbookViewId="0">
      <selection activeCell="C38" sqref="C38:C39"/>
    </sheetView>
  </sheetViews>
  <sheetFormatPr defaultRowHeight="14.4" x14ac:dyDescent="0.3"/>
  <cols>
    <col min="2" max="2" width="23.5546875" customWidth="1"/>
    <col min="3" max="3" width="25.88671875" bestFit="1" customWidth="1"/>
    <col min="5" max="5" width="39.44140625" bestFit="1" customWidth="1"/>
    <col min="6" max="6" width="20.33203125" style="29" customWidth="1"/>
  </cols>
  <sheetData>
    <row r="1" spans="2:6" ht="19.8" x14ac:dyDescent="0.4">
      <c r="B1" s="40" t="s">
        <v>201</v>
      </c>
      <c r="C1" s="41" t="s">
        <v>202</v>
      </c>
      <c r="E1" s="42" t="s">
        <v>203</v>
      </c>
      <c r="F1" s="43">
        <f>SUM(C2:C21)</f>
        <v>5881</v>
      </c>
    </row>
    <row r="2" spans="2:6" ht="15" thickBot="1" x14ac:dyDescent="0.35">
      <c r="B2" s="44" t="s">
        <v>204</v>
      </c>
      <c r="C2" s="45">
        <v>57</v>
      </c>
      <c r="E2" s="46" t="s">
        <v>205</v>
      </c>
      <c r="F2" s="53">
        <f>COUNTIF(C2:C21,"&gt;0")</f>
        <v>19</v>
      </c>
    </row>
    <row r="3" spans="2:6" ht="15" thickBot="1" x14ac:dyDescent="0.35">
      <c r="B3" s="44" t="s">
        <v>206</v>
      </c>
      <c r="C3" s="45">
        <v>244</v>
      </c>
      <c r="F3" s="47"/>
    </row>
    <row r="4" spans="2:6" x14ac:dyDescent="0.3">
      <c r="B4" s="44" t="s">
        <v>207</v>
      </c>
      <c r="C4" s="45">
        <v>0</v>
      </c>
      <c r="E4" s="42" t="s">
        <v>208</v>
      </c>
      <c r="F4" s="54">
        <f>COUNTIF(C2:C21,"=0,00")</f>
        <v>1</v>
      </c>
    </row>
    <row r="5" spans="2:6" ht="15" thickBot="1" x14ac:dyDescent="0.35">
      <c r="B5" s="44" t="s">
        <v>209</v>
      </c>
      <c r="C5" s="45">
        <v>197</v>
      </c>
      <c r="E5" s="46" t="s">
        <v>210</v>
      </c>
      <c r="F5" s="55">
        <f>COUNTA(B2:B21)</f>
        <v>20</v>
      </c>
    </row>
    <row r="6" spans="2:6" ht="15" thickBot="1" x14ac:dyDescent="0.35">
      <c r="B6" s="44" t="s">
        <v>211</v>
      </c>
      <c r="C6" s="45">
        <v>450</v>
      </c>
      <c r="F6" s="47"/>
    </row>
    <row r="7" spans="2:6" ht="15" thickBot="1" x14ac:dyDescent="0.35">
      <c r="B7" s="44" t="s">
        <v>212</v>
      </c>
      <c r="C7" s="45">
        <v>94</v>
      </c>
      <c r="E7" s="48" t="s">
        <v>213</v>
      </c>
      <c r="F7" s="49">
        <f>MAX(C2:C21)</f>
        <v>497</v>
      </c>
    </row>
    <row r="8" spans="2:6" ht="15" thickBot="1" x14ac:dyDescent="0.35">
      <c r="B8" s="44" t="s">
        <v>214</v>
      </c>
      <c r="C8" s="45">
        <v>364</v>
      </c>
      <c r="F8" s="47"/>
    </row>
    <row r="9" spans="2:6" ht="15" thickBot="1" x14ac:dyDescent="0.35">
      <c r="B9" s="44" t="s">
        <v>215</v>
      </c>
      <c r="C9" s="45">
        <v>475</v>
      </c>
      <c r="E9" s="48" t="s">
        <v>216</v>
      </c>
      <c r="F9" s="49">
        <f>MIN(C2:C21)</f>
        <v>0</v>
      </c>
    </row>
    <row r="10" spans="2:6" ht="15" thickBot="1" x14ac:dyDescent="0.35">
      <c r="B10" s="44" t="s">
        <v>217</v>
      </c>
      <c r="C10" s="45">
        <v>252</v>
      </c>
      <c r="F10" s="47"/>
    </row>
    <row r="11" spans="2:6" ht="15" thickBot="1" x14ac:dyDescent="0.35">
      <c r="B11" s="44" t="s">
        <v>218</v>
      </c>
      <c r="C11" s="45">
        <v>404</v>
      </c>
      <c r="E11" s="42" t="s">
        <v>219</v>
      </c>
      <c r="F11" s="43">
        <f>LARGE(C$2:C$21,2)</f>
        <v>476</v>
      </c>
    </row>
    <row r="12" spans="2:6" ht="15" thickBot="1" x14ac:dyDescent="0.35">
      <c r="B12" s="44" t="s">
        <v>220</v>
      </c>
      <c r="C12" s="45">
        <v>497</v>
      </c>
      <c r="E12" s="50" t="s">
        <v>221</v>
      </c>
      <c r="F12" s="43">
        <f>LARGE(C$2:C$21,3)</f>
        <v>475</v>
      </c>
    </row>
    <row r="13" spans="2:6" ht="15" thickBot="1" x14ac:dyDescent="0.35">
      <c r="B13" s="44" t="s">
        <v>222</v>
      </c>
      <c r="C13" s="45">
        <v>203</v>
      </c>
      <c r="E13" s="50" t="s">
        <v>223</v>
      </c>
      <c r="F13" s="43">
        <f>LARGE(C$2:C$21,4)</f>
        <v>468</v>
      </c>
    </row>
    <row r="14" spans="2:6" ht="15" thickBot="1" x14ac:dyDescent="0.35">
      <c r="B14" s="44" t="s">
        <v>224</v>
      </c>
      <c r="C14" s="45">
        <v>449</v>
      </c>
      <c r="E14" s="46" t="s">
        <v>225</v>
      </c>
      <c r="F14" s="56">
        <f>LARGE(C$2:C$21,5)</f>
        <v>450</v>
      </c>
    </row>
    <row r="15" spans="2:6" ht="15" thickBot="1" x14ac:dyDescent="0.35">
      <c r="B15" s="44" t="s">
        <v>226</v>
      </c>
      <c r="C15" s="45">
        <v>331</v>
      </c>
      <c r="F15" s="47"/>
    </row>
    <row r="16" spans="2:6" ht="15" thickBot="1" x14ac:dyDescent="0.35">
      <c r="B16" s="44" t="s">
        <v>227</v>
      </c>
      <c r="C16" s="45">
        <v>104</v>
      </c>
      <c r="E16" s="42" t="s">
        <v>228</v>
      </c>
      <c r="F16" s="43">
        <f>SMALL(C$2:C$21,2)</f>
        <v>57</v>
      </c>
    </row>
    <row r="17" spans="2:6" ht="15" thickBot="1" x14ac:dyDescent="0.35">
      <c r="B17" s="44" t="s">
        <v>229</v>
      </c>
      <c r="C17" s="45">
        <v>96</v>
      </c>
      <c r="E17" s="50" t="s">
        <v>230</v>
      </c>
      <c r="F17" s="43">
        <f>SMALL(C$2:C$21,3)</f>
        <v>94</v>
      </c>
    </row>
    <row r="18" spans="2:6" ht="15" thickBot="1" x14ac:dyDescent="0.35">
      <c r="B18" s="44" t="s">
        <v>231</v>
      </c>
      <c r="C18" s="45">
        <v>468</v>
      </c>
      <c r="E18" s="50" t="s">
        <v>232</v>
      </c>
      <c r="F18" s="43">
        <f>SMALL(C$2:C$21,4)</f>
        <v>96</v>
      </c>
    </row>
    <row r="19" spans="2:6" ht="15" thickBot="1" x14ac:dyDescent="0.35">
      <c r="B19" s="44" t="s">
        <v>233</v>
      </c>
      <c r="C19" s="45">
        <v>359</v>
      </c>
      <c r="E19" s="46" t="s">
        <v>234</v>
      </c>
      <c r="F19" s="43">
        <f>SMALL(C$2:C$21,5)</f>
        <v>104</v>
      </c>
    </row>
    <row r="20" spans="2:6" ht="15" thickBot="1" x14ac:dyDescent="0.35">
      <c r="B20" s="44" t="s">
        <v>235</v>
      </c>
      <c r="C20" s="45">
        <v>476</v>
      </c>
      <c r="F20" s="47"/>
    </row>
    <row r="21" spans="2:6" ht="15" thickBot="1" x14ac:dyDescent="0.35">
      <c r="B21" s="51" t="s">
        <v>236</v>
      </c>
      <c r="C21" s="52">
        <v>361</v>
      </c>
      <c r="E21" s="48" t="s">
        <v>237</v>
      </c>
      <c r="F21" s="49">
        <f>AVERAGE(C2:C21)</f>
        <v>294.05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34B5B-6081-4987-87D2-AA35B0F53720}">
  <dimension ref="B1:F21"/>
  <sheetViews>
    <sheetView showGridLines="0" workbookViewId="0">
      <selection activeCell="C12" sqref="C12"/>
    </sheetView>
  </sheetViews>
  <sheetFormatPr defaultRowHeight="14.4" x14ac:dyDescent="0.3"/>
  <cols>
    <col min="2" max="2" width="23.5546875" customWidth="1"/>
    <col min="3" max="3" width="25.88671875" bestFit="1" customWidth="1"/>
    <col min="5" max="5" width="39.44140625" bestFit="1" customWidth="1"/>
    <col min="6" max="6" width="20.33203125" style="29" customWidth="1"/>
  </cols>
  <sheetData>
    <row r="1" spans="2:6" ht="19.8" x14ac:dyDescent="0.4">
      <c r="B1" s="40" t="s">
        <v>201</v>
      </c>
      <c r="C1" s="41" t="s">
        <v>202</v>
      </c>
      <c r="E1" s="42" t="s">
        <v>203</v>
      </c>
      <c r="F1" s="43">
        <f>SUM(C2:C21)</f>
        <v>7052</v>
      </c>
    </row>
    <row r="2" spans="2:6" ht="15" thickBot="1" x14ac:dyDescent="0.35">
      <c r="B2" s="44" t="s">
        <v>204</v>
      </c>
      <c r="C2" s="45">
        <v>1000</v>
      </c>
      <c r="E2" s="46" t="s">
        <v>205</v>
      </c>
      <c r="F2" s="53">
        <f>COUNTIF(C2:C21,"&gt;0")</f>
        <v>16</v>
      </c>
    </row>
    <row r="3" spans="2:6" ht="15" thickBot="1" x14ac:dyDescent="0.35">
      <c r="B3" s="44" t="s">
        <v>206</v>
      </c>
      <c r="C3" s="45">
        <v>244</v>
      </c>
      <c r="F3" s="47"/>
    </row>
    <row r="4" spans="2:6" x14ac:dyDescent="0.3">
      <c r="B4" s="44" t="s">
        <v>207</v>
      </c>
      <c r="C4" s="45">
        <v>168</v>
      </c>
      <c r="E4" s="42" t="s">
        <v>208</v>
      </c>
      <c r="F4" s="54">
        <f>COUNTIF(C2:C21,"")</f>
        <v>4</v>
      </c>
    </row>
    <row r="5" spans="2:6" ht="15" thickBot="1" x14ac:dyDescent="0.35">
      <c r="B5" s="44" t="s">
        <v>209</v>
      </c>
      <c r="C5" s="45">
        <v>197</v>
      </c>
      <c r="E5" s="46" t="s">
        <v>210</v>
      </c>
      <c r="F5" s="55">
        <f>COUNTA(B2:B21)</f>
        <v>20</v>
      </c>
    </row>
    <row r="6" spans="2:6" ht="15" thickBot="1" x14ac:dyDescent="0.35">
      <c r="B6" s="44" t="s">
        <v>211</v>
      </c>
      <c r="C6" s="45"/>
      <c r="F6" s="47"/>
    </row>
    <row r="7" spans="2:6" ht="15" thickBot="1" x14ac:dyDescent="0.35">
      <c r="B7" s="44" t="s">
        <v>212</v>
      </c>
      <c r="C7" s="45">
        <v>400</v>
      </c>
      <c r="E7" s="48" t="s">
        <v>213</v>
      </c>
      <c r="F7" s="49">
        <f>MAX(C2:C21)</f>
        <v>2000</v>
      </c>
    </row>
    <row r="8" spans="2:6" ht="15" thickBot="1" x14ac:dyDescent="0.35">
      <c r="B8" s="44" t="s">
        <v>214</v>
      </c>
      <c r="C8" s="45">
        <v>364</v>
      </c>
      <c r="F8" s="47"/>
    </row>
    <row r="9" spans="2:6" ht="15" thickBot="1" x14ac:dyDescent="0.35">
      <c r="B9" s="44" t="s">
        <v>215</v>
      </c>
      <c r="C9" s="45"/>
      <c r="E9" s="48" t="s">
        <v>216</v>
      </c>
      <c r="F9" s="49">
        <f>MIN(C2:C21)</f>
        <v>96</v>
      </c>
    </row>
    <row r="10" spans="2:6" ht="15" thickBot="1" x14ac:dyDescent="0.35">
      <c r="B10" s="44" t="s">
        <v>217</v>
      </c>
      <c r="C10" s="45">
        <v>252</v>
      </c>
      <c r="F10" s="47"/>
    </row>
    <row r="11" spans="2:6" ht="15" thickBot="1" x14ac:dyDescent="0.35">
      <c r="B11" s="44" t="s">
        <v>218</v>
      </c>
      <c r="C11" s="45">
        <v>2000</v>
      </c>
      <c r="E11" s="42" t="s">
        <v>219</v>
      </c>
      <c r="F11" s="43">
        <f>LARGE(C$2:C$21,2)</f>
        <v>1000</v>
      </c>
    </row>
    <row r="12" spans="2:6" ht="15" thickBot="1" x14ac:dyDescent="0.35">
      <c r="B12" s="44" t="s">
        <v>220</v>
      </c>
      <c r="C12" s="45">
        <v>497</v>
      </c>
      <c r="E12" s="50" t="s">
        <v>221</v>
      </c>
      <c r="F12" s="43">
        <f>LARGE(C$2:C$21,3)</f>
        <v>497</v>
      </c>
    </row>
    <row r="13" spans="2:6" ht="15" thickBot="1" x14ac:dyDescent="0.35">
      <c r="B13" s="44" t="s">
        <v>222</v>
      </c>
      <c r="C13" s="45">
        <v>203</v>
      </c>
      <c r="E13" s="50" t="s">
        <v>223</v>
      </c>
      <c r="F13" s="43">
        <f>LARGE(C$2:C$21,4)</f>
        <v>476</v>
      </c>
    </row>
    <row r="14" spans="2:6" ht="15" thickBot="1" x14ac:dyDescent="0.35">
      <c r="B14" s="44" t="s">
        <v>224</v>
      </c>
      <c r="C14" s="45"/>
      <c r="E14" s="46" t="s">
        <v>225</v>
      </c>
      <c r="F14" s="56">
        <f>LARGE(C$2:C$21,5)</f>
        <v>400</v>
      </c>
    </row>
    <row r="15" spans="2:6" ht="15" thickBot="1" x14ac:dyDescent="0.35">
      <c r="B15" s="44" t="s">
        <v>226</v>
      </c>
      <c r="C15" s="45">
        <v>331</v>
      </c>
      <c r="F15" s="47"/>
    </row>
    <row r="16" spans="2:6" ht="15" thickBot="1" x14ac:dyDescent="0.35">
      <c r="B16" s="44" t="s">
        <v>227</v>
      </c>
      <c r="C16" s="45">
        <v>104</v>
      </c>
      <c r="E16" s="42" t="s">
        <v>228</v>
      </c>
      <c r="F16" s="43">
        <f>SMALL(C$2:C$21,2)</f>
        <v>104</v>
      </c>
    </row>
    <row r="17" spans="2:6" ht="15" thickBot="1" x14ac:dyDescent="0.35">
      <c r="B17" s="44" t="s">
        <v>229</v>
      </c>
      <c r="C17" s="45">
        <v>96</v>
      </c>
      <c r="E17" s="50" t="s">
        <v>230</v>
      </c>
      <c r="F17" s="43">
        <f>SMALL(C$2:C$21,3)</f>
        <v>168</v>
      </c>
    </row>
    <row r="18" spans="2:6" ht="15" thickBot="1" x14ac:dyDescent="0.35">
      <c r="B18" s="44" t="s">
        <v>231</v>
      </c>
      <c r="C18" s="45"/>
      <c r="E18" s="50" t="s">
        <v>232</v>
      </c>
      <c r="F18" s="43">
        <f>SMALL(C$2:C$21,4)</f>
        <v>197</v>
      </c>
    </row>
    <row r="19" spans="2:6" ht="15" thickBot="1" x14ac:dyDescent="0.35">
      <c r="B19" s="44" t="s">
        <v>233</v>
      </c>
      <c r="C19" s="45">
        <v>359</v>
      </c>
      <c r="E19" s="46" t="s">
        <v>234</v>
      </c>
      <c r="F19" s="43">
        <f>SMALL(C$2:C$21,5)</f>
        <v>203</v>
      </c>
    </row>
    <row r="20" spans="2:6" ht="15" thickBot="1" x14ac:dyDescent="0.35">
      <c r="B20" s="44" t="s">
        <v>235</v>
      </c>
      <c r="C20" s="45">
        <v>476</v>
      </c>
      <c r="F20" s="47"/>
    </row>
    <row r="21" spans="2:6" ht="15" thickBot="1" x14ac:dyDescent="0.35">
      <c r="B21" s="51" t="s">
        <v>236</v>
      </c>
      <c r="C21" s="52">
        <v>361</v>
      </c>
      <c r="E21" s="48" t="s">
        <v>237</v>
      </c>
      <c r="F21" s="49">
        <f>AVERAGE(C2:C21)</f>
        <v>440.75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C4F81-D514-46E6-BF56-8AF121E86E46}">
  <dimension ref="A1:L18"/>
  <sheetViews>
    <sheetView workbookViewId="0">
      <selection activeCell="C2" sqref="C2"/>
    </sheetView>
  </sheetViews>
  <sheetFormatPr defaultRowHeight="14.4" x14ac:dyDescent="0.3"/>
  <cols>
    <col min="1" max="1" width="31.44140625" bestFit="1" customWidth="1"/>
    <col min="2" max="2" width="8.5546875" bestFit="1" customWidth="1"/>
    <col min="3" max="3" width="21.88671875" bestFit="1" customWidth="1"/>
    <col min="4" max="4" width="24.6640625" bestFit="1" customWidth="1"/>
    <col min="5" max="5" width="21.5546875" bestFit="1" customWidth="1"/>
    <col min="6" max="6" width="25.109375" bestFit="1" customWidth="1"/>
    <col min="7" max="7" width="22" bestFit="1" customWidth="1"/>
    <col min="8" max="8" width="12.109375" bestFit="1" customWidth="1"/>
    <col min="9" max="9" width="13.5546875" customWidth="1"/>
    <col min="10" max="10" width="5.5546875" customWidth="1"/>
    <col min="11" max="11" width="26.109375" bestFit="1" customWidth="1"/>
    <col min="12" max="12" width="13.33203125" bestFit="1" customWidth="1"/>
  </cols>
  <sheetData>
    <row r="1" spans="1:12" x14ac:dyDescent="0.3">
      <c r="A1" s="57" t="s">
        <v>238</v>
      </c>
      <c r="B1" s="57" t="s">
        <v>239</v>
      </c>
      <c r="C1" s="57" t="s">
        <v>240</v>
      </c>
      <c r="D1" s="57" t="s">
        <v>241</v>
      </c>
      <c r="E1" s="57" t="s">
        <v>242</v>
      </c>
      <c r="F1" s="57" t="s">
        <v>243</v>
      </c>
      <c r="G1" s="57" t="s">
        <v>244</v>
      </c>
      <c r="H1" s="57" t="s">
        <v>245</v>
      </c>
      <c r="I1" s="57" t="s">
        <v>246</v>
      </c>
    </row>
    <row r="2" spans="1:12" x14ac:dyDescent="0.3">
      <c r="A2" s="58" t="s">
        <v>247</v>
      </c>
      <c r="B2" s="59">
        <v>3652</v>
      </c>
      <c r="C2" s="58" t="str">
        <f>TRIM(SUBSTITUTE(A2,"-"," "))</f>
        <v>levi cardoso</v>
      </c>
      <c r="D2" s="58" t="str">
        <f>UPPER(C2)</f>
        <v>LEVI CARDOSO</v>
      </c>
      <c r="E2" s="58" t="str">
        <f>LOWER(C2)</f>
        <v>levi cardoso</v>
      </c>
      <c r="F2" s="58" t="str">
        <f>SUBSTITUTE(A2,"-","")</f>
        <v xml:space="preserve">   levi cardoso</v>
      </c>
      <c r="G2" s="58" t="str">
        <f>PROPER(C2)</f>
        <v>Levi Cardoso</v>
      </c>
      <c r="H2" s="58">
        <f>LEN(SUBSTITUTE(C2," ",""))</f>
        <v>11</v>
      </c>
      <c r="I2" s="60">
        <f>B2</f>
        <v>3652</v>
      </c>
    </row>
    <row r="3" spans="1:12" x14ac:dyDescent="0.3">
      <c r="A3" s="58" t="s">
        <v>248</v>
      </c>
      <c r="B3" s="59">
        <v>3040</v>
      </c>
      <c r="C3" s="58" t="str">
        <f t="shared" ref="C3:C18" si="0">TRIM(SUBSTITUTE(A3,"-"," "))</f>
        <v>benjamin da Conceição</v>
      </c>
      <c r="D3" s="58" t="str">
        <f t="shared" ref="D3:D18" si="1">UPPER(C3)</f>
        <v>BENJAMIN DA CONCEIÇÃO</v>
      </c>
      <c r="E3" s="58" t="str">
        <f t="shared" ref="E3:E18" si="2">LOWER(C3)</f>
        <v>benjamin da conceição</v>
      </c>
      <c r="F3" s="58" t="str">
        <f t="shared" ref="F3:F18" si="3">SUBSTITUTE(A3,"-","")</f>
        <v>benjamin   da  Conceição</v>
      </c>
      <c r="G3" s="58" t="str">
        <f t="shared" ref="G3:G18" si="4">PROPER(C3)</f>
        <v>Benjamin Da Conceição</v>
      </c>
      <c r="H3" s="58">
        <f t="shared" ref="H3:H18" si="5">LEN(SUBSTITUTE(C3," ",""))</f>
        <v>19</v>
      </c>
      <c r="I3" s="60">
        <f t="shared" ref="I3:I18" si="6">B3</f>
        <v>3040</v>
      </c>
    </row>
    <row r="4" spans="1:12" x14ac:dyDescent="0.3">
      <c r="A4" s="58" t="s">
        <v>249</v>
      </c>
      <c r="B4" s="59">
        <v>2448</v>
      </c>
      <c r="C4" s="58" t="str">
        <f t="shared" si="0"/>
        <v>milena farias</v>
      </c>
      <c r="D4" s="58" t="str">
        <f t="shared" si="1"/>
        <v>MILENA FARIAS</v>
      </c>
      <c r="E4" s="58" t="str">
        <f t="shared" si="2"/>
        <v>milena farias</v>
      </c>
      <c r="F4" s="58" t="str">
        <f t="shared" si="3"/>
        <v>milena farias</v>
      </c>
      <c r="G4" s="58" t="str">
        <f t="shared" si="4"/>
        <v>Milena Farias</v>
      </c>
      <c r="H4" s="58">
        <f t="shared" si="5"/>
        <v>12</v>
      </c>
      <c r="I4" s="60">
        <f t="shared" si="6"/>
        <v>2448</v>
      </c>
      <c r="K4" s="57" t="s">
        <v>250</v>
      </c>
      <c r="L4" s="58">
        <f>COUNTA(A2:A18)</f>
        <v>17</v>
      </c>
    </row>
    <row r="5" spans="1:12" x14ac:dyDescent="0.3">
      <c r="A5" s="58" t="s">
        <v>251</v>
      </c>
      <c r="B5" s="59">
        <v>3004</v>
      </c>
      <c r="C5" s="58" t="str">
        <f t="shared" si="0"/>
        <v>Davi costa</v>
      </c>
      <c r="D5" s="58" t="str">
        <f t="shared" si="1"/>
        <v>DAVI COSTA</v>
      </c>
      <c r="E5" s="58" t="str">
        <f t="shared" si="2"/>
        <v>davi costa</v>
      </c>
      <c r="F5" s="58" t="str">
        <f t="shared" si="3"/>
        <v xml:space="preserve"> Davi      costa</v>
      </c>
      <c r="G5" s="58" t="str">
        <f t="shared" si="4"/>
        <v>Davi Costa</v>
      </c>
      <c r="H5" s="58">
        <f t="shared" si="5"/>
        <v>9</v>
      </c>
      <c r="I5" s="60">
        <f t="shared" si="6"/>
        <v>3004</v>
      </c>
      <c r="K5" s="57" t="s">
        <v>252</v>
      </c>
      <c r="L5" s="60">
        <f>SUM(I2:I18)</f>
        <v>48733</v>
      </c>
    </row>
    <row r="6" spans="1:12" x14ac:dyDescent="0.3">
      <c r="A6" s="58" t="s">
        <v>253</v>
      </c>
      <c r="B6" s="59">
        <v>1902</v>
      </c>
      <c r="C6" s="58" t="str">
        <f t="shared" si="0"/>
        <v>stella Viana</v>
      </c>
      <c r="D6" s="58" t="str">
        <f t="shared" si="1"/>
        <v>STELLA VIANA</v>
      </c>
      <c r="E6" s="58" t="str">
        <f t="shared" si="2"/>
        <v>stella viana</v>
      </c>
      <c r="F6" s="58" t="str">
        <f t="shared" si="3"/>
        <v>stella Viana</v>
      </c>
      <c r="G6" s="58" t="str">
        <f t="shared" si="4"/>
        <v>Stella Viana</v>
      </c>
      <c r="H6" s="58">
        <f t="shared" si="5"/>
        <v>11</v>
      </c>
      <c r="I6" s="60">
        <f t="shared" si="6"/>
        <v>1902</v>
      </c>
      <c r="K6" s="57" t="s">
        <v>254</v>
      </c>
      <c r="L6" s="58">
        <f>MAX(H2:H18)</f>
        <v>19</v>
      </c>
    </row>
    <row r="7" spans="1:12" x14ac:dyDescent="0.3">
      <c r="A7" s="58" t="s">
        <v>255</v>
      </c>
      <c r="B7" s="59">
        <v>3453</v>
      </c>
      <c r="C7" s="58" t="str">
        <f t="shared" si="0"/>
        <v>Caio Viana</v>
      </c>
      <c r="D7" s="58" t="str">
        <f t="shared" si="1"/>
        <v>CAIO VIANA</v>
      </c>
      <c r="E7" s="58" t="str">
        <f t="shared" si="2"/>
        <v>caio viana</v>
      </c>
      <c r="F7" s="58" t="str">
        <f t="shared" si="3"/>
        <v xml:space="preserve">       Caio Viana</v>
      </c>
      <c r="G7" s="58" t="str">
        <f t="shared" si="4"/>
        <v>Caio Viana</v>
      </c>
      <c r="H7" s="58">
        <f t="shared" si="5"/>
        <v>9</v>
      </c>
      <c r="I7" s="60">
        <f t="shared" si="6"/>
        <v>3453</v>
      </c>
      <c r="K7" s="57" t="s">
        <v>256</v>
      </c>
      <c r="L7" s="60">
        <f>MAX(I2:I18)</f>
        <v>3795</v>
      </c>
    </row>
    <row r="8" spans="1:12" x14ac:dyDescent="0.3">
      <c r="A8" s="58" t="s">
        <v>257</v>
      </c>
      <c r="B8" s="59">
        <v>2239</v>
      </c>
      <c r="C8" s="58" t="str">
        <f t="shared" si="0"/>
        <v>kevin Cunha</v>
      </c>
      <c r="D8" s="58" t="str">
        <f t="shared" si="1"/>
        <v>KEVIN CUNHA</v>
      </c>
      <c r="E8" s="58" t="str">
        <f t="shared" si="2"/>
        <v>kevin cunha</v>
      </c>
      <c r="F8" s="58" t="str">
        <f t="shared" si="3"/>
        <v xml:space="preserve">       kevin            Cunha           </v>
      </c>
      <c r="G8" s="58" t="str">
        <f t="shared" si="4"/>
        <v>Kevin Cunha</v>
      </c>
      <c r="H8" s="58">
        <f t="shared" si="5"/>
        <v>10</v>
      </c>
      <c r="I8" s="60">
        <f t="shared" si="6"/>
        <v>2239</v>
      </c>
    </row>
    <row r="9" spans="1:12" x14ac:dyDescent="0.3">
      <c r="A9" s="58" t="s">
        <v>258</v>
      </c>
      <c r="B9" s="59">
        <v>2424</v>
      </c>
      <c r="C9" s="58" t="str">
        <f t="shared" si="0"/>
        <v>Levi Novaes</v>
      </c>
      <c r="D9" s="58" t="str">
        <f t="shared" si="1"/>
        <v>LEVI NOVAES</v>
      </c>
      <c r="E9" s="58" t="str">
        <f t="shared" si="2"/>
        <v>levi novaes</v>
      </c>
      <c r="F9" s="58" t="str">
        <f t="shared" si="3"/>
        <v>Levi  Novaes</v>
      </c>
      <c r="G9" s="58" t="str">
        <f t="shared" si="4"/>
        <v>Levi Novaes</v>
      </c>
      <c r="H9" s="58">
        <f t="shared" si="5"/>
        <v>10</v>
      </c>
      <c r="I9" s="60">
        <f t="shared" si="6"/>
        <v>2424</v>
      </c>
    </row>
    <row r="10" spans="1:12" x14ac:dyDescent="0.3">
      <c r="A10" s="58" t="s">
        <v>259</v>
      </c>
      <c r="B10" s="59">
        <v>3477</v>
      </c>
      <c r="C10" s="58" t="str">
        <f t="shared" si="0"/>
        <v>Luiz Miguel castro</v>
      </c>
      <c r="D10" s="58" t="str">
        <f t="shared" si="1"/>
        <v>LUIZ MIGUEL CASTRO</v>
      </c>
      <c r="E10" s="58" t="str">
        <f t="shared" si="2"/>
        <v>luiz miguel castro</v>
      </c>
      <c r="F10" s="58" t="str">
        <f t="shared" si="3"/>
        <v xml:space="preserve">      Luiz Miguel castro</v>
      </c>
      <c r="G10" s="58" t="str">
        <f t="shared" si="4"/>
        <v>Luiz Miguel Castro</v>
      </c>
      <c r="H10" s="58">
        <f t="shared" si="5"/>
        <v>16</v>
      </c>
      <c r="I10" s="60">
        <f t="shared" si="6"/>
        <v>3477</v>
      </c>
    </row>
    <row r="11" spans="1:12" x14ac:dyDescent="0.3">
      <c r="A11" s="58" t="s">
        <v>260</v>
      </c>
      <c r="B11" s="59">
        <v>3795</v>
      </c>
      <c r="C11" s="58" t="str">
        <f t="shared" si="0"/>
        <v>Lara Da Luz</v>
      </c>
      <c r="D11" s="58" t="str">
        <f t="shared" si="1"/>
        <v>LARA DA LUZ</v>
      </c>
      <c r="E11" s="58" t="str">
        <f t="shared" si="2"/>
        <v>lara da luz</v>
      </c>
      <c r="F11" s="58" t="str">
        <f t="shared" si="3"/>
        <v xml:space="preserve">Lara Da Luz         </v>
      </c>
      <c r="G11" s="58" t="str">
        <f t="shared" si="4"/>
        <v>Lara Da Luz</v>
      </c>
      <c r="H11" s="58">
        <f t="shared" si="5"/>
        <v>9</v>
      </c>
      <c r="I11" s="60">
        <f t="shared" si="6"/>
        <v>3795</v>
      </c>
    </row>
    <row r="12" spans="1:12" x14ac:dyDescent="0.3">
      <c r="A12" s="58" t="s">
        <v>261</v>
      </c>
      <c r="B12" s="59">
        <v>2904</v>
      </c>
      <c r="C12" s="58" t="str">
        <f t="shared" si="0"/>
        <v>Olivia alves</v>
      </c>
      <c r="D12" s="58" t="str">
        <f t="shared" si="1"/>
        <v>OLIVIA ALVES</v>
      </c>
      <c r="E12" s="58" t="str">
        <f t="shared" si="2"/>
        <v>olivia alves</v>
      </c>
      <c r="F12" s="58" t="str">
        <f t="shared" si="3"/>
        <v>Olivia              alves</v>
      </c>
      <c r="G12" s="58" t="str">
        <f t="shared" si="4"/>
        <v>Olivia Alves</v>
      </c>
      <c r="H12" s="58">
        <f t="shared" si="5"/>
        <v>11</v>
      </c>
      <c r="I12" s="60">
        <f t="shared" si="6"/>
        <v>2904</v>
      </c>
    </row>
    <row r="13" spans="1:12" x14ac:dyDescent="0.3">
      <c r="A13" s="58" t="s">
        <v>262</v>
      </c>
      <c r="B13" s="59">
        <v>3700</v>
      </c>
      <c r="C13" s="58" t="str">
        <f t="shared" si="0"/>
        <v>Maria Alice da Rocha</v>
      </c>
      <c r="D13" s="58" t="str">
        <f t="shared" si="1"/>
        <v>MARIA ALICE DA ROCHA</v>
      </c>
      <c r="E13" s="58" t="str">
        <f t="shared" si="2"/>
        <v>maria alice da rocha</v>
      </c>
      <c r="F13" s="58" t="str">
        <f t="shared" si="3"/>
        <v>Maria       Alice da        Rocha</v>
      </c>
      <c r="G13" s="58" t="str">
        <f t="shared" si="4"/>
        <v>Maria Alice Da Rocha</v>
      </c>
      <c r="H13" s="58">
        <f t="shared" si="5"/>
        <v>17</v>
      </c>
      <c r="I13" s="60">
        <f t="shared" si="6"/>
        <v>3700</v>
      </c>
    </row>
    <row r="14" spans="1:12" x14ac:dyDescent="0.3">
      <c r="A14" s="58" t="s">
        <v>263</v>
      </c>
      <c r="B14" s="59">
        <v>2727</v>
      </c>
      <c r="C14" s="58" t="str">
        <f t="shared" si="0"/>
        <v>luiz Otávio Lima</v>
      </c>
      <c r="D14" s="58" t="str">
        <f t="shared" si="1"/>
        <v>LUIZ OTÁVIO LIMA</v>
      </c>
      <c r="E14" s="58" t="str">
        <f t="shared" si="2"/>
        <v>luiz otávio lima</v>
      </c>
      <c r="F14" s="58" t="str">
        <f t="shared" si="3"/>
        <v>luiz          Otávio       Lima</v>
      </c>
      <c r="G14" s="58" t="str">
        <f t="shared" si="4"/>
        <v>Luiz Otávio Lima</v>
      </c>
      <c r="H14" s="58">
        <f t="shared" si="5"/>
        <v>14</v>
      </c>
      <c r="I14" s="60">
        <f t="shared" si="6"/>
        <v>2727</v>
      </c>
    </row>
    <row r="15" spans="1:12" x14ac:dyDescent="0.3">
      <c r="A15" s="58" t="s">
        <v>264</v>
      </c>
      <c r="B15" s="59">
        <v>2892</v>
      </c>
      <c r="C15" s="58" t="str">
        <f t="shared" si="0"/>
        <v>Anthony cavalcanti</v>
      </c>
      <c r="D15" s="58" t="str">
        <f t="shared" si="1"/>
        <v>ANTHONY CAVALCANTI</v>
      </c>
      <c r="E15" s="58" t="str">
        <f t="shared" si="2"/>
        <v>anthony cavalcanti</v>
      </c>
      <c r="F15" s="58" t="str">
        <f t="shared" si="3"/>
        <v xml:space="preserve"> Anthony          cavalcanti</v>
      </c>
      <c r="G15" s="58" t="str">
        <f t="shared" si="4"/>
        <v>Anthony Cavalcanti</v>
      </c>
      <c r="H15" s="58">
        <f t="shared" si="5"/>
        <v>17</v>
      </c>
      <c r="I15" s="60">
        <f t="shared" si="6"/>
        <v>2892</v>
      </c>
    </row>
    <row r="16" spans="1:12" x14ac:dyDescent="0.3">
      <c r="A16" s="58" t="s">
        <v>265</v>
      </c>
      <c r="B16" s="59">
        <v>2675</v>
      </c>
      <c r="C16" s="58" t="str">
        <f t="shared" si="0"/>
        <v>miguel nogueira</v>
      </c>
      <c r="D16" s="58" t="str">
        <f t="shared" si="1"/>
        <v>MIGUEL NOGUEIRA</v>
      </c>
      <c r="E16" s="58" t="str">
        <f t="shared" si="2"/>
        <v>miguel nogueira</v>
      </c>
      <c r="F16" s="58" t="str">
        <f t="shared" si="3"/>
        <v xml:space="preserve">          miguel nogueira</v>
      </c>
      <c r="G16" s="58" t="str">
        <f t="shared" si="4"/>
        <v>Miguel Nogueira</v>
      </c>
      <c r="H16" s="58">
        <f t="shared" si="5"/>
        <v>14</v>
      </c>
      <c r="I16" s="60">
        <f t="shared" si="6"/>
        <v>2675</v>
      </c>
    </row>
    <row r="17" spans="1:9" x14ac:dyDescent="0.3">
      <c r="A17" s="58" t="s">
        <v>266</v>
      </c>
      <c r="B17" s="59">
        <v>2236</v>
      </c>
      <c r="C17" s="58" t="str">
        <f t="shared" si="0"/>
        <v>cauã cragão</v>
      </c>
      <c r="D17" s="58" t="str">
        <f t="shared" si="1"/>
        <v>CAUÃ CRAGÃO</v>
      </c>
      <c r="E17" s="58" t="str">
        <f t="shared" si="2"/>
        <v>cauã cragão</v>
      </c>
      <c r="F17" s="58" t="str">
        <f t="shared" si="3"/>
        <v>cauã              cragão</v>
      </c>
      <c r="G17" s="58" t="str">
        <f t="shared" si="4"/>
        <v>Cauã Cragão</v>
      </c>
      <c r="H17" s="58">
        <f t="shared" si="5"/>
        <v>10</v>
      </c>
      <c r="I17" s="60">
        <f t="shared" si="6"/>
        <v>2236</v>
      </c>
    </row>
    <row r="18" spans="1:9" x14ac:dyDescent="0.3">
      <c r="A18" s="58" t="s">
        <v>267</v>
      </c>
      <c r="B18" s="59">
        <v>2165</v>
      </c>
      <c r="C18" s="58" t="str">
        <f t="shared" si="0"/>
        <v>manuela Silva</v>
      </c>
      <c r="D18" s="58" t="str">
        <f t="shared" si="1"/>
        <v>MANUELA SILVA</v>
      </c>
      <c r="E18" s="58" t="str">
        <f t="shared" si="2"/>
        <v>manuela silva</v>
      </c>
      <c r="F18" s="58" t="str">
        <f t="shared" si="3"/>
        <v xml:space="preserve">                manuela Silva</v>
      </c>
      <c r="G18" s="58" t="str">
        <f t="shared" si="4"/>
        <v>Manuela Silva</v>
      </c>
      <c r="H18" s="58">
        <f t="shared" si="5"/>
        <v>12</v>
      </c>
      <c r="I18" s="60">
        <f t="shared" si="6"/>
        <v>2165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3E367-7277-42B5-BCB5-9A6F2A8A67FB}">
  <dimension ref="B1:J21"/>
  <sheetViews>
    <sheetView showGridLines="0" workbookViewId="0">
      <selection activeCell="G39" sqref="G39"/>
    </sheetView>
  </sheetViews>
  <sheetFormatPr defaultRowHeight="14.4" x14ac:dyDescent="0.3"/>
  <cols>
    <col min="1" max="1" width="3" customWidth="1"/>
    <col min="2" max="2" width="3.88671875" bestFit="1" customWidth="1"/>
    <col min="3" max="3" width="23.5546875" customWidth="1"/>
    <col min="4" max="4" width="25.88671875" bestFit="1" customWidth="1"/>
    <col min="5" max="5" width="2.6640625" customWidth="1"/>
    <col min="6" max="6" width="36.44140625" bestFit="1" customWidth="1"/>
    <col min="7" max="7" width="19.44140625" style="29" bestFit="1" customWidth="1"/>
    <col min="8" max="8" width="2.88671875" customWidth="1"/>
    <col min="9" max="9" width="28.44140625" customWidth="1"/>
    <col min="10" max="10" width="18.33203125" customWidth="1"/>
  </cols>
  <sheetData>
    <row r="1" spans="2:9" ht="19.8" x14ac:dyDescent="0.4">
      <c r="B1" s="40" t="s">
        <v>274</v>
      </c>
      <c r="C1" s="40" t="s">
        <v>201</v>
      </c>
      <c r="D1" s="41" t="s">
        <v>202</v>
      </c>
      <c r="G1" s="47"/>
    </row>
    <row r="2" spans="2:9" x14ac:dyDescent="0.3">
      <c r="B2" s="44">
        <v>1</v>
      </c>
      <c r="C2" s="44" t="s">
        <v>204</v>
      </c>
      <c r="D2" s="45">
        <v>1000</v>
      </c>
      <c r="F2" s="74" t="s">
        <v>275</v>
      </c>
      <c r="G2" s="75">
        <f>MAX(D2:D21)</f>
        <v>2000</v>
      </c>
    </row>
    <row r="3" spans="2:9" x14ac:dyDescent="0.3">
      <c r="B3" s="44">
        <v>2</v>
      </c>
      <c r="C3" s="44" t="s">
        <v>206</v>
      </c>
      <c r="D3" s="45">
        <v>244</v>
      </c>
      <c r="F3" s="74" t="s">
        <v>276</v>
      </c>
      <c r="G3" s="76">
        <f>MATCH(G2,D2:D21,0)</f>
        <v>10</v>
      </c>
    </row>
    <row r="4" spans="2:9" x14ac:dyDescent="0.3">
      <c r="B4" s="44">
        <v>3</v>
      </c>
      <c r="C4" s="44" t="s">
        <v>207</v>
      </c>
      <c r="D4" s="45">
        <v>168</v>
      </c>
      <c r="G4"/>
    </row>
    <row r="5" spans="2:9" x14ac:dyDescent="0.3">
      <c r="B5" s="44">
        <v>4</v>
      </c>
      <c r="C5" s="44" t="s">
        <v>209</v>
      </c>
      <c r="D5" s="45">
        <v>197</v>
      </c>
      <c r="F5" s="74" t="s">
        <v>277</v>
      </c>
      <c r="G5" s="75" t="str">
        <f ca="1">OFFSET(D1,G3,-1,1,1)</f>
        <v>Cael Mont'Alverne</v>
      </c>
      <c r="I5" t="str">
        <f>VLOOKUP(G3,B1:D21,2,FALSE)</f>
        <v>Cael Mont'Alverne</v>
      </c>
    </row>
    <row r="6" spans="2:9" x14ac:dyDescent="0.3">
      <c r="B6" s="44">
        <v>5</v>
      </c>
      <c r="C6" s="44" t="s">
        <v>211</v>
      </c>
      <c r="D6" s="45"/>
      <c r="F6" s="74" t="s">
        <v>278</v>
      </c>
      <c r="G6" s="75">
        <f ca="1">SUM(OFFSET(B2:B21,,2))</f>
        <v>7052</v>
      </c>
    </row>
    <row r="7" spans="2:9" x14ac:dyDescent="0.3">
      <c r="B7" s="44">
        <v>6</v>
      </c>
      <c r="C7" s="44" t="s">
        <v>212</v>
      </c>
      <c r="D7" s="45">
        <v>400</v>
      </c>
    </row>
    <row r="8" spans="2:9" x14ac:dyDescent="0.3">
      <c r="B8" s="44">
        <v>7</v>
      </c>
      <c r="C8" s="44" t="s">
        <v>214</v>
      </c>
      <c r="D8" s="45">
        <v>364</v>
      </c>
      <c r="F8" s="74" t="s">
        <v>279</v>
      </c>
      <c r="G8" s="75">
        <f>MIN(D2:D21)</f>
        <v>96</v>
      </c>
    </row>
    <row r="9" spans="2:9" x14ac:dyDescent="0.3">
      <c r="B9" s="44">
        <v>8</v>
      </c>
      <c r="C9" s="44" t="s">
        <v>215</v>
      </c>
      <c r="D9" s="45"/>
      <c r="F9" s="74" t="s">
        <v>280</v>
      </c>
      <c r="G9" s="76">
        <f>MATCH(G8,D2:D21,0)</f>
        <v>16</v>
      </c>
      <c r="I9">
        <f>VLOOKUP(MATCH(G8,D2:D21,0),B1:D21,1,FALSE)</f>
        <v>16</v>
      </c>
    </row>
    <row r="10" spans="2:9" x14ac:dyDescent="0.3">
      <c r="B10" s="44">
        <v>9</v>
      </c>
      <c r="C10" s="44" t="s">
        <v>217</v>
      </c>
      <c r="D10" s="45">
        <v>252</v>
      </c>
    </row>
    <row r="11" spans="2:9" x14ac:dyDescent="0.3">
      <c r="B11" s="44">
        <v>10</v>
      </c>
      <c r="C11" s="44" t="s">
        <v>218</v>
      </c>
      <c r="D11" s="45">
        <v>2000</v>
      </c>
      <c r="F11" s="74" t="s">
        <v>281</v>
      </c>
      <c r="G11" s="75" t="str">
        <f ca="1">OFFSET(D1,G9,-1,1,1)</f>
        <v>Daiana Gois</v>
      </c>
      <c r="I11" t="str" cm="1">
        <f t="array" ref="I11">INDEX(B2:D21,G9,2)</f>
        <v>Daiana Gois</v>
      </c>
    </row>
    <row r="12" spans="2:9" x14ac:dyDescent="0.3">
      <c r="B12" s="44">
        <v>11</v>
      </c>
      <c r="C12" s="44" t="s">
        <v>220</v>
      </c>
      <c r="D12" s="45">
        <v>497</v>
      </c>
    </row>
    <row r="13" spans="2:9" x14ac:dyDescent="0.3">
      <c r="B13" s="44">
        <v>12</v>
      </c>
      <c r="C13" s="44" t="s">
        <v>222</v>
      </c>
      <c r="D13" s="45">
        <v>203</v>
      </c>
      <c r="F13" s="74" t="s">
        <v>282</v>
      </c>
      <c r="G13" s="76" t="s">
        <v>287</v>
      </c>
    </row>
    <row r="14" spans="2:9" x14ac:dyDescent="0.3">
      <c r="B14" s="44">
        <v>13</v>
      </c>
      <c r="C14" s="44" t="s">
        <v>224</v>
      </c>
      <c r="D14" s="45"/>
      <c r="F14" s="74" t="s">
        <v>283</v>
      </c>
      <c r="G14" s="75">
        <f>VLOOKUP(G13,C1:D21,2,FALSE)</f>
        <v>244</v>
      </c>
    </row>
    <row r="15" spans="2:9" x14ac:dyDescent="0.3">
      <c r="B15" s="44">
        <v>14</v>
      </c>
      <c r="C15" s="44" t="s">
        <v>226</v>
      </c>
      <c r="D15" s="45">
        <v>331</v>
      </c>
    </row>
    <row r="16" spans="2:9" x14ac:dyDescent="0.3">
      <c r="B16" s="44">
        <v>15</v>
      </c>
      <c r="C16" s="44" t="s">
        <v>227</v>
      </c>
      <c r="D16" s="45">
        <v>104</v>
      </c>
    </row>
    <row r="17" spans="2:10" x14ac:dyDescent="0.3">
      <c r="B17" s="44">
        <v>16</v>
      </c>
      <c r="C17" s="44" t="s">
        <v>229</v>
      </c>
      <c r="D17" s="45">
        <v>96</v>
      </c>
      <c r="F17" s="74" t="s">
        <v>285</v>
      </c>
      <c r="G17" s="74">
        <v>18</v>
      </c>
      <c r="I17" s="74" t="s">
        <v>289</v>
      </c>
      <c r="J17" s="74"/>
    </row>
    <row r="18" spans="2:10" x14ac:dyDescent="0.3">
      <c r="B18" s="44">
        <v>17</v>
      </c>
      <c r="C18" s="44" t="s">
        <v>231</v>
      </c>
      <c r="D18" s="45"/>
      <c r="F18" s="74" t="s">
        <v>288</v>
      </c>
      <c r="G18" s="74" t="str">
        <f>VLOOKUP(G17,B1:D21,2,FALSE)</f>
        <v>Lucas Prates</v>
      </c>
      <c r="I18" s="74" t="s">
        <v>290</v>
      </c>
      <c r="J18" s="74" t="str">
        <f>_xlfn.XLOOKUP(J17,B1:B21,C1:C21,"NÃO ENCONTRADO")</f>
        <v>NÃO ENCONTRADO</v>
      </c>
    </row>
    <row r="19" spans="2:10" x14ac:dyDescent="0.3">
      <c r="B19" s="44">
        <v>18</v>
      </c>
      <c r="C19" s="44" t="s">
        <v>233</v>
      </c>
      <c r="D19" s="45">
        <v>359</v>
      </c>
      <c r="F19" s="74" t="s">
        <v>202</v>
      </c>
      <c r="G19" s="80">
        <f>VLOOKUP(G17,B1:D21,3,FALSE)</f>
        <v>359</v>
      </c>
      <c r="I19" s="74" t="s">
        <v>202</v>
      </c>
      <c r="J19" s="83" t="str">
        <f>_xlfn.XLOOKUP(J17,B1:B21,D1:D21,"NÃO ENCONTRADO")</f>
        <v>NÃO ENCONTRADO</v>
      </c>
    </row>
    <row r="20" spans="2:10" x14ac:dyDescent="0.3">
      <c r="B20" s="44">
        <v>19</v>
      </c>
      <c r="C20" s="44" t="s">
        <v>235</v>
      </c>
      <c r="D20" s="45">
        <v>476</v>
      </c>
    </row>
    <row r="21" spans="2:10" ht="15" thickBot="1" x14ac:dyDescent="0.35">
      <c r="B21" s="51">
        <v>20</v>
      </c>
      <c r="C21" s="51" t="s">
        <v>236</v>
      </c>
      <c r="D21" s="52">
        <v>361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D9476-138D-4CC6-B662-53E9CCD57D94}">
  <dimension ref="A1:K12"/>
  <sheetViews>
    <sheetView showGridLines="0" workbookViewId="0">
      <selection activeCell="F22" sqref="F22:F27"/>
    </sheetView>
  </sheetViews>
  <sheetFormatPr defaultRowHeight="14.4" x14ac:dyDescent="0.3"/>
  <cols>
    <col min="1" max="1" width="30.33203125" bestFit="1" customWidth="1"/>
    <col min="2" max="2" width="12.109375" bestFit="1" customWidth="1"/>
    <col min="3" max="3" width="11.6640625" bestFit="1" customWidth="1"/>
    <col min="4" max="4" width="15.109375" bestFit="1" customWidth="1"/>
    <col min="5" max="5" width="25.21875" customWidth="1"/>
    <col min="6" max="6" width="27.88671875" customWidth="1"/>
    <col min="7" max="7" width="14" bestFit="1" customWidth="1"/>
    <col min="8" max="8" width="15.6640625" bestFit="1" customWidth="1"/>
    <col min="9" max="9" width="15.33203125" bestFit="1" customWidth="1"/>
    <col min="10" max="10" width="12.88671875" bestFit="1" customWidth="1"/>
    <col min="11" max="11" width="17.6640625" bestFit="1" customWidth="1"/>
  </cols>
  <sheetData>
    <row r="1" spans="1:11" ht="15" thickBot="1" x14ac:dyDescent="0.35"/>
    <row r="2" spans="1:11" ht="20.399999999999999" thickBot="1" x14ac:dyDescent="0.45">
      <c r="A2" s="40" t="s">
        <v>274</v>
      </c>
      <c r="B2" s="44">
        <v>1</v>
      </c>
      <c r="C2" s="44">
        <v>2</v>
      </c>
      <c r="D2" s="44">
        <v>3</v>
      </c>
      <c r="E2" s="44">
        <v>4</v>
      </c>
      <c r="F2" s="44">
        <v>5</v>
      </c>
      <c r="G2" s="44">
        <v>6</v>
      </c>
      <c r="H2" s="44">
        <v>7</v>
      </c>
      <c r="I2" s="44">
        <v>8</v>
      </c>
      <c r="J2" s="44">
        <v>9</v>
      </c>
      <c r="K2" s="44">
        <v>10</v>
      </c>
    </row>
    <row r="3" spans="1:11" ht="20.399999999999999" thickBot="1" x14ac:dyDescent="0.45">
      <c r="A3" s="40" t="s">
        <v>201</v>
      </c>
      <c r="B3" s="44" t="s">
        <v>204</v>
      </c>
      <c r="C3" s="44" t="s">
        <v>206</v>
      </c>
      <c r="D3" s="44" t="s">
        <v>207</v>
      </c>
      <c r="E3" s="44" t="s">
        <v>209</v>
      </c>
      <c r="F3" s="44" t="s">
        <v>211</v>
      </c>
      <c r="G3" s="44" t="s">
        <v>212</v>
      </c>
      <c r="H3" s="44" t="s">
        <v>214</v>
      </c>
      <c r="I3" s="44" t="s">
        <v>215</v>
      </c>
      <c r="J3" s="44" t="s">
        <v>217</v>
      </c>
      <c r="K3" s="44" t="s">
        <v>218</v>
      </c>
    </row>
    <row r="4" spans="1:11" ht="19.8" x14ac:dyDescent="0.4">
      <c r="A4" s="41" t="s">
        <v>202</v>
      </c>
      <c r="B4" s="45">
        <v>1000</v>
      </c>
      <c r="C4" s="45">
        <v>244</v>
      </c>
      <c r="D4" s="45">
        <v>168</v>
      </c>
      <c r="E4" s="45">
        <v>197</v>
      </c>
      <c r="F4" s="45"/>
      <c r="G4" s="45">
        <v>400</v>
      </c>
      <c r="H4" s="45">
        <v>364</v>
      </c>
      <c r="I4" s="45"/>
      <c r="J4" s="45">
        <v>252</v>
      </c>
      <c r="K4" s="45">
        <v>2000</v>
      </c>
    </row>
    <row r="7" spans="1:11" x14ac:dyDescent="0.3">
      <c r="A7" s="74" t="s">
        <v>282</v>
      </c>
      <c r="B7" s="77" t="s">
        <v>209</v>
      </c>
      <c r="C7" s="77"/>
      <c r="D7" s="77"/>
    </row>
    <row r="8" spans="1:11" x14ac:dyDescent="0.3">
      <c r="A8" s="74" t="s">
        <v>283</v>
      </c>
      <c r="B8" s="79">
        <f>HLOOKUP(B7,B3:K4,2,FALSE)</f>
        <v>197</v>
      </c>
      <c r="C8" s="79"/>
      <c r="D8" s="79"/>
    </row>
    <row r="10" spans="1:11" x14ac:dyDescent="0.3">
      <c r="A10" s="74" t="s">
        <v>285</v>
      </c>
      <c r="B10" s="77">
        <v>2</v>
      </c>
      <c r="C10" s="77"/>
      <c r="D10" s="77"/>
      <c r="E10" s="74" t="s">
        <v>289</v>
      </c>
      <c r="F10" s="81">
        <v>7</v>
      </c>
    </row>
    <row r="11" spans="1:11" x14ac:dyDescent="0.3">
      <c r="A11" s="74" t="s">
        <v>286</v>
      </c>
      <c r="B11" s="79" t="str">
        <f>HLOOKUP(B10,A2:K4,2,FALSE)</f>
        <v>Liam Tabosa</v>
      </c>
      <c r="C11" s="79"/>
      <c r="D11" s="79"/>
      <c r="E11" s="74" t="s">
        <v>288</v>
      </c>
      <c r="F11" s="82" t="str">
        <f>_xlfn.XLOOKUP(F10,A2:K2,A3:K3,"NÃO ENCONTRADO")</f>
        <v>Bernardo Freitas</v>
      </c>
    </row>
    <row r="12" spans="1:11" x14ac:dyDescent="0.3">
      <c r="A12" s="74" t="s">
        <v>202</v>
      </c>
      <c r="B12" s="77">
        <f>HLOOKUP(B10,A2:K4,3,FALSE)</f>
        <v>244</v>
      </c>
      <c r="C12" s="77"/>
      <c r="D12" s="77"/>
      <c r="E12" s="74" t="s">
        <v>202</v>
      </c>
      <c r="F12" s="82">
        <f>_xlfn.XLOOKUP(F10,A2:K2,A4:K4,"NÃO ENCONTRADO")</f>
        <v>364</v>
      </c>
    </row>
  </sheetData>
  <mergeCells count="5">
    <mergeCell ref="B7:D7"/>
    <mergeCell ref="B8:D8"/>
    <mergeCell ref="B10:D10"/>
    <mergeCell ref="B11:D11"/>
    <mergeCell ref="B12:D12"/>
  </mergeCells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454C3-8528-4335-B47A-2F5C01BFD98C}">
  <dimension ref="A1:G356"/>
  <sheetViews>
    <sheetView showGridLines="0" zoomScale="80" zoomScaleNormal="80" workbookViewId="0">
      <selection activeCell="F25" sqref="F25"/>
    </sheetView>
  </sheetViews>
  <sheetFormatPr defaultRowHeight="14.4" x14ac:dyDescent="0.3"/>
  <cols>
    <col min="1" max="1" width="46" customWidth="1"/>
    <col min="2" max="2" width="22.33203125" customWidth="1"/>
    <col min="3" max="3" width="18.88671875" style="1" customWidth="1"/>
    <col min="4" max="4" width="20.6640625" style="1" customWidth="1"/>
    <col min="5" max="5" width="14.88671875" bestFit="1" customWidth="1"/>
    <col min="6" max="6" width="60.6640625" customWidth="1"/>
    <col min="7" max="7" width="17.88671875" customWidth="1"/>
  </cols>
  <sheetData>
    <row r="1" spans="1:7" x14ac:dyDescent="0.3">
      <c r="A1" s="2"/>
      <c r="B1" s="2"/>
      <c r="C1" s="3"/>
      <c r="D1" s="3"/>
      <c r="E1" s="2"/>
      <c r="F1" s="2"/>
    </row>
    <row r="2" spans="1:7" ht="120" customHeight="1" x14ac:dyDescent="2.4">
      <c r="A2" s="84" t="s">
        <v>17</v>
      </c>
      <c r="B2" s="84"/>
      <c r="C2" s="84"/>
      <c r="D2" s="84"/>
      <c r="E2" s="85" t="s">
        <v>291</v>
      </c>
      <c r="F2" s="85"/>
      <c r="G2" s="86"/>
    </row>
    <row r="3" spans="1:7" ht="15" thickBot="1" x14ac:dyDescent="0.35">
      <c r="A3" s="2"/>
      <c r="B3" s="2"/>
      <c r="C3" s="3"/>
      <c r="D3" s="3"/>
      <c r="E3" s="2"/>
      <c r="F3" s="2"/>
    </row>
    <row r="4" spans="1:7" ht="36" thickTop="1" thickBot="1" x14ac:dyDescent="0.35">
      <c r="A4" s="87" t="s">
        <v>0</v>
      </c>
      <c r="B4" s="88" t="s">
        <v>1</v>
      </c>
      <c r="C4" s="89" t="s">
        <v>3</v>
      </c>
      <c r="D4" s="88" t="s">
        <v>4</v>
      </c>
      <c r="E4" s="88" t="s">
        <v>292</v>
      </c>
      <c r="F4" s="90" t="s">
        <v>293</v>
      </c>
    </row>
    <row r="5" spans="1:7" ht="15" thickTop="1" x14ac:dyDescent="0.3">
      <c r="A5" s="91" t="s">
        <v>5</v>
      </c>
      <c r="B5" s="92" t="s">
        <v>6</v>
      </c>
      <c r="C5" s="92" t="s">
        <v>294</v>
      </c>
      <c r="D5" s="93">
        <v>1027</v>
      </c>
      <c r="E5" s="92">
        <v>1020</v>
      </c>
      <c r="F5" s="99" t="str">
        <f>HYPERLINK("www.academiaO2.com.br/"&amp;E5,"acesse esta fatura")</f>
        <v>acesse esta fatura</v>
      </c>
    </row>
    <row r="6" spans="1:7" x14ac:dyDescent="0.3">
      <c r="A6" s="94" t="s">
        <v>5</v>
      </c>
      <c r="B6" s="4" t="s">
        <v>6</v>
      </c>
      <c r="C6" s="4" t="s">
        <v>295</v>
      </c>
      <c r="D6" s="95">
        <v>1027</v>
      </c>
      <c r="E6" s="4">
        <v>2123</v>
      </c>
      <c r="F6" s="4" t="str">
        <f t="shared" ref="F6:F17" si="0">HYPERLINK("www.academiaO2.com.br/"&amp;E6,"acesse esta fatura")</f>
        <v>acesse esta fatura</v>
      </c>
    </row>
    <row r="7" spans="1:7" x14ac:dyDescent="0.3">
      <c r="A7" s="94" t="s">
        <v>8</v>
      </c>
      <c r="B7" s="4" t="s">
        <v>6</v>
      </c>
      <c r="C7" s="4" t="s">
        <v>296</v>
      </c>
      <c r="D7" s="95">
        <v>700</v>
      </c>
      <c r="E7" s="4">
        <v>1010</v>
      </c>
      <c r="F7" s="100" t="str">
        <f t="shared" si="0"/>
        <v>acesse esta fatura</v>
      </c>
    </row>
    <row r="8" spans="1:7" x14ac:dyDescent="0.3">
      <c r="A8" s="96" t="s">
        <v>9</v>
      </c>
      <c r="B8" s="97" t="s">
        <v>6</v>
      </c>
      <c r="C8" s="97" t="s">
        <v>297</v>
      </c>
      <c r="D8" s="98">
        <v>580</v>
      </c>
      <c r="E8" s="97">
        <v>490</v>
      </c>
      <c r="F8" s="97" t="str">
        <f t="shared" si="0"/>
        <v>acesse esta fatura</v>
      </c>
    </row>
    <row r="9" spans="1:7" x14ac:dyDescent="0.3">
      <c r="A9" s="94" t="s">
        <v>15</v>
      </c>
      <c r="B9" s="4" t="s">
        <v>6</v>
      </c>
      <c r="C9" s="4" t="s">
        <v>298</v>
      </c>
      <c r="D9" s="95">
        <v>802</v>
      </c>
      <c r="E9" s="4">
        <v>1251</v>
      </c>
      <c r="F9" s="4" t="str">
        <f t="shared" si="0"/>
        <v>acesse esta fatura</v>
      </c>
    </row>
    <row r="10" spans="1:7" x14ac:dyDescent="0.3">
      <c r="A10" s="94" t="s">
        <v>15</v>
      </c>
      <c r="B10" s="4" t="s">
        <v>6</v>
      </c>
      <c r="C10" s="4" t="s">
        <v>299</v>
      </c>
      <c r="D10" s="95">
        <v>880.9</v>
      </c>
      <c r="E10" s="4">
        <v>844</v>
      </c>
      <c r="F10" s="4" t="str">
        <f t="shared" si="0"/>
        <v>acesse esta fatura</v>
      </c>
    </row>
    <row r="11" spans="1:7" ht="28.2" x14ac:dyDescent="0.3">
      <c r="A11" s="94" t="s">
        <v>10</v>
      </c>
      <c r="B11" s="4" t="s">
        <v>6</v>
      </c>
      <c r="C11" s="4" t="s">
        <v>295</v>
      </c>
      <c r="D11" s="95">
        <v>680</v>
      </c>
      <c r="E11" s="4">
        <v>103</v>
      </c>
      <c r="F11" s="4" t="str">
        <f t="shared" si="0"/>
        <v>acesse esta fatura</v>
      </c>
    </row>
    <row r="12" spans="1:7" x14ac:dyDescent="0.3">
      <c r="A12" s="94" t="s">
        <v>11</v>
      </c>
      <c r="B12" s="4" t="s">
        <v>6</v>
      </c>
      <c r="C12" s="4" t="s">
        <v>300</v>
      </c>
      <c r="D12" s="95">
        <v>200</v>
      </c>
      <c r="E12" s="4">
        <v>1420</v>
      </c>
      <c r="F12" s="4" t="str">
        <f t="shared" si="0"/>
        <v>acesse esta fatura</v>
      </c>
    </row>
    <row r="13" spans="1:7" x14ac:dyDescent="0.3">
      <c r="A13" s="94" t="s">
        <v>11</v>
      </c>
      <c r="B13" s="4" t="s">
        <v>6</v>
      </c>
      <c r="C13" s="4" t="s">
        <v>301</v>
      </c>
      <c r="D13" s="95">
        <v>405</v>
      </c>
      <c r="E13" s="4">
        <v>1432</v>
      </c>
      <c r="F13" s="4" t="str">
        <f t="shared" si="0"/>
        <v>acesse esta fatura</v>
      </c>
    </row>
    <row r="14" spans="1:7" x14ac:dyDescent="0.3">
      <c r="A14" s="96" t="s">
        <v>12</v>
      </c>
      <c r="B14" s="97" t="s">
        <v>6</v>
      </c>
      <c r="C14" s="97" t="s">
        <v>301</v>
      </c>
      <c r="D14" s="98">
        <v>538.91999999999996</v>
      </c>
      <c r="E14" s="97">
        <v>1424</v>
      </c>
      <c r="F14" s="97" t="str">
        <f t="shared" si="0"/>
        <v>acesse esta fatura</v>
      </c>
    </row>
    <row r="15" spans="1:7" x14ac:dyDescent="0.3">
      <c r="A15" s="94" t="s">
        <v>5</v>
      </c>
      <c r="B15" s="4" t="s">
        <v>6</v>
      </c>
      <c r="C15" s="4" t="s">
        <v>300</v>
      </c>
      <c r="D15" s="95">
        <v>567</v>
      </c>
      <c r="E15" s="4">
        <v>664</v>
      </c>
      <c r="F15" s="4" t="str">
        <f t="shared" si="0"/>
        <v>acesse esta fatura</v>
      </c>
    </row>
    <row r="16" spans="1:7" x14ac:dyDescent="0.3">
      <c r="A16" s="4" t="s">
        <v>13</v>
      </c>
      <c r="B16" s="4" t="s">
        <v>6</v>
      </c>
      <c r="C16" s="4" t="s">
        <v>302</v>
      </c>
      <c r="D16" s="95">
        <v>2193.34</v>
      </c>
      <c r="E16" s="4">
        <v>1028</v>
      </c>
      <c r="F16" s="4" t="str">
        <f t="shared" si="0"/>
        <v>acesse esta fatura</v>
      </c>
    </row>
    <row r="17" spans="1:6" x14ac:dyDescent="0.3">
      <c r="A17" s="4" t="s">
        <v>13</v>
      </c>
      <c r="B17" s="4" t="s">
        <v>6</v>
      </c>
      <c r="C17" s="4" t="s">
        <v>303</v>
      </c>
      <c r="D17" s="95">
        <v>2193.33</v>
      </c>
      <c r="E17" s="4">
        <v>1878</v>
      </c>
      <c r="F17" s="4" t="str">
        <f t="shared" si="0"/>
        <v>acesse esta fatura</v>
      </c>
    </row>
    <row r="18" spans="1:6" x14ac:dyDescent="0.3">
      <c r="C18"/>
    </row>
    <row r="19" spans="1:6" x14ac:dyDescent="0.3">
      <c r="C19"/>
    </row>
    <row r="20" spans="1:6" x14ac:dyDescent="0.3">
      <c r="C20"/>
    </row>
    <row r="21" spans="1:6" x14ac:dyDescent="0.3">
      <c r="C21"/>
    </row>
    <row r="22" spans="1:6" x14ac:dyDescent="0.3">
      <c r="C22"/>
    </row>
    <row r="23" spans="1:6" x14ac:dyDescent="0.3">
      <c r="C23"/>
    </row>
    <row r="24" spans="1:6" x14ac:dyDescent="0.3">
      <c r="C24"/>
    </row>
    <row r="25" spans="1:6" x14ac:dyDescent="0.3">
      <c r="C25"/>
    </row>
    <row r="26" spans="1:6" x14ac:dyDescent="0.3">
      <c r="C26"/>
    </row>
    <row r="27" spans="1:6" x14ac:dyDescent="0.3">
      <c r="C27"/>
    </row>
    <row r="28" spans="1:6" x14ac:dyDescent="0.3">
      <c r="C28"/>
    </row>
    <row r="29" spans="1:6" x14ac:dyDescent="0.3">
      <c r="C29"/>
    </row>
    <row r="30" spans="1:6" x14ac:dyDescent="0.3">
      <c r="C30"/>
    </row>
    <row r="31" spans="1:6" x14ac:dyDescent="0.3">
      <c r="C31"/>
    </row>
    <row r="32" spans="1:6" x14ac:dyDescent="0.3">
      <c r="C32"/>
    </row>
    <row r="33" spans="3:3" x14ac:dyDescent="0.3">
      <c r="C33"/>
    </row>
    <row r="34" spans="3:3" x14ac:dyDescent="0.3">
      <c r="C34"/>
    </row>
    <row r="35" spans="3:3" x14ac:dyDescent="0.3">
      <c r="C35"/>
    </row>
    <row r="36" spans="3:3" x14ac:dyDescent="0.3">
      <c r="C36"/>
    </row>
    <row r="37" spans="3:3" x14ac:dyDescent="0.3">
      <c r="C37"/>
    </row>
    <row r="38" spans="3:3" x14ac:dyDescent="0.3">
      <c r="C38"/>
    </row>
    <row r="39" spans="3:3" x14ac:dyDescent="0.3">
      <c r="C39"/>
    </row>
    <row r="40" spans="3:3" x14ac:dyDescent="0.3">
      <c r="C40"/>
    </row>
    <row r="41" spans="3:3" x14ac:dyDescent="0.3">
      <c r="C41"/>
    </row>
    <row r="42" spans="3:3" x14ac:dyDescent="0.3">
      <c r="C42"/>
    </row>
    <row r="43" spans="3:3" x14ac:dyDescent="0.3">
      <c r="C43"/>
    </row>
    <row r="44" spans="3:3" x14ac:dyDescent="0.3">
      <c r="C44"/>
    </row>
    <row r="45" spans="3:3" x14ac:dyDescent="0.3">
      <c r="C45"/>
    </row>
    <row r="46" spans="3:3" x14ac:dyDescent="0.3">
      <c r="C46"/>
    </row>
    <row r="47" spans="3:3" x14ac:dyDescent="0.3">
      <c r="C47"/>
    </row>
    <row r="48" spans="3:3" x14ac:dyDescent="0.3">
      <c r="C48"/>
    </row>
    <row r="49" spans="3:3" x14ac:dyDescent="0.3">
      <c r="C49"/>
    </row>
    <row r="50" spans="3:3" x14ac:dyDescent="0.3">
      <c r="C50"/>
    </row>
    <row r="51" spans="3:3" x14ac:dyDescent="0.3">
      <c r="C51"/>
    </row>
    <row r="52" spans="3:3" x14ac:dyDescent="0.3">
      <c r="C52"/>
    </row>
    <row r="53" spans="3:3" x14ac:dyDescent="0.3">
      <c r="C53"/>
    </row>
    <row r="54" spans="3:3" x14ac:dyDescent="0.3">
      <c r="C54"/>
    </row>
    <row r="55" spans="3:3" x14ac:dyDescent="0.3">
      <c r="C55"/>
    </row>
    <row r="56" spans="3:3" x14ac:dyDescent="0.3">
      <c r="C56"/>
    </row>
    <row r="57" spans="3:3" x14ac:dyDescent="0.3">
      <c r="C57"/>
    </row>
    <row r="58" spans="3:3" x14ac:dyDescent="0.3">
      <c r="C58"/>
    </row>
    <row r="59" spans="3:3" x14ac:dyDescent="0.3">
      <c r="C59"/>
    </row>
    <row r="60" spans="3:3" x14ac:dyDescent="0.3">
      <c r="C60"/>
    </row>
    <row r="61" spans="3:3" x14ac:dyDescent="0.3">
      <c r="C61"/>
    </row>
    <row r="62" spans="3:3" x14ac:dyDescent="0.3">
      <c r="C62"/>
    </row>
    <row r="63" spans="3:3" x14ac:dyDescent="0.3">
      <c r="C63"/>
    </row>
    <row r="64" spans="3:3" x14ac:dyDescent="0.3">
      <c r="C64"/>
    </row>
    <row r="65" spans="3:3" x14ac:dyDescent="0.3">
      <c r="C65"/>
    </row>
    <row r="66" spans="3:3" x14ac:dyDescent="0.3">
      <c r="C66"/>
    </row>
    <row r="67" spans="3:3" x14ac:dyDescent="0.3">
      <c r="C67"/>
    </row>
    <row r="68" spans="3:3" x14ac:dyDescent="0.3">
      <c r="C68"/>
    </row>
    <row r="69" spans="3:3" x14ac:dyDescent="0.3">
      <c r="C69"/>
    </row>
    <row r="70" spans="3:3" x14ac:dyDescent="0.3">
      <c r="C70"/>
    </row>
    <row r="71" spans="3:3" x14ac:dyDescent="0.3">
      <c r="C71"/>
    </row>
    <row r="72" spans="3:3" x14ac:dyDescent="0.3">
      <c r="C72"/>
    </row>
    <row r="73" spans="3:3" x14ac:dyDescent="0.3">
      <c r="C73"/>
    </row>
    <row r="74" spans="3:3" x14ac:dyDescent="0.3">
      <c r="C74"/>
    </row>
    <row r="75" spans="3:3" x14ac:dyDescent="0.3">
      <c r="C75"/>
    </row>
    <row r="76" spans="3:3" x14ac:dyDescent="0.3">
      <c r="C76"/>
    </row>
    <row r="77" spans="3:3" x14ac:dyDescent="0.3">
      <c r="C77"/>
    </row>
    <row r="78" spans="3:3" x14ac:dyDescent="0.3">
      <c r="C78"/>
    </row>
    <row r="79" spans="3:3" x14ac:dyDescent="0.3">
      <c r="C79"/>
    </row>
    <row r="80" spans="3:3" x14ac:dyDescent="0.3">
      <c r="C80"/>
    </row>
    <row r="81" spans="3:3" x14ac:dyDescent="0.3">
      <c r="C81"/>
    </row>
    <row r="82" spans="3:3" x14ac:dyDescent="0.3">
      <c r="C82"/>
    </row>
    <row r="83" spans="3:3" x14ac:dyDescent="0.3">
      <c r="C83"/>
    </row>
    <row r="84" spans="3:3" x14ac:dyDescent="0.3">
      <c r="C84"/>
    </row>
    <row r="85" spans="3:3" x14ac:dyDescent="0.3">
      <c r="C85"/>
    </row>
    <row r="86" spans="3:3" x14ac:dyDescent="0.3">
      <c r="C86"/>
    </row>
    <row r="87" spans="3:3" x14ac:dyDescent="0.3">
      <c r="C87"/>
    </row>
    <row r="88" spans="3:3" x14ac:dyDescent="0.3">
      <c r="C88"/>
    </row>
    <row r="89" spans="3:3" x14ac:dyDescent="0.3">
      <c r="C89"/>
    </row>
    <row r="90" spans="3:3" x14ac:dyDescent="0.3">
      <c r="C90"/>
    </row>
    <row r="91" spans="3:3" x14ac:dyDescent="0.3">
      <c r="C91"/>
    </row>
    <row r="92" spans="3:3" x14ac:dyDescent="0.3">
      <c r="C92"/>
    </row>
    <row r="93" spans="3:3" x14ac:dyDescent="0.3">
      <c r="C93"/>
    </row>
    <row r="94" spans="3:3" x14ac:dyDescent="0.3">
      <c r="C94"/>
    </row>
    <row r="95" spans="3:3" x14ac:dyDescent="0.3">
      <c r="C95"/>
    </row>
    <row r="96" spans="3:3" x14ac:dyDescent="0.3">
      <c r="C96"/>
    </row>
    <row r="97" spans="3:3" x14ac:dyDescent="0.3">
      <c r="C97"/>
    </row>
    <row r="98" spans="3:3" x14ac:dyDescent="0.3">
      <c r="C98"/>
    </row>
    <row r="99" spans="3:3" x14ac:dyDescent="0.3">
      <c r="C99"/>
    </row>
    <row r="100" spans="3:3" x14ac:dyDescent="0.3">
      <c r="C100"/>
    </row>
    <row r="101" spans="3:3" x14ac:dyDescent="0.3">
      <c r="C101"/>
    </row>
    <row r="102" spans="3:3" x14ac:dyDescent="0.3">
      <c r="C102"/>
    </row>
    <row r="103" spans="3:3" x14ac:dyDescent="0.3">
      <c r="C103"/>
    </row>
    <row r="104" spans="3:3" x14ac:dyDescent="0.3">
      <c r="C104"/>
    </row>
    <row r="105" spans="3:3" x14ac:dyDescent="0.3">
      <c r="C105"/>
    </row>
    <row r="106" spans="3:3" x14ac:dyDescent="0.3">
      <c r="C106"/>
    </row>
    <row r="107" spans="3:3" x14ac:dyDescent="0.3">
      <c r="C107"/>
    </row>
    <row r="108" spans="3:3" x14ac:dyDescent="0.3">
      <c r="C108"/>
    </row>
    <row r="109" spans="3:3" x14ac:dyDescent="0.3">
      <c r="C109"/>
    </row>
    <row r="110" spans="3:3" x14ac:dyDescent="0.3">
      <c r="C110"/>
    </row>
    <row r="111" spans="3:3" x14ac:dyDescent="0.3">
      <c r="C111"/>
    </row>
    <row r="112" spans="3:3" x14ac:dyDescent="0.3">
      <c r="C112"/>
    </row>
    <row r="113" spans="3:3" x14ac:dyDescent="0.3">
      <c r="C113"/>
    </row>
    <row r="114" spans="3:3" x14ac:dyDescent="0.3">
      <c r="C114"/>
    </row>
    <row r="115" spans="3:3" x14ac:dyDescent="0.3">
      <c r="C115"/>
    </row>
    <row r="116" spans="3:3" x14ac:dyDescent="0.3">
      <c r="C116"/>
    </row>
    <row r="117" spans="3:3" x14ac:dyDescent="0.3">
      <c r="C117"/>
    </row>
    <row r="118" spans="3:3" x14ac:dyDescent="0.3">
      <c r="C118"/>
    </row>
    <row r="119" spans="3:3" x14ac:dyDescent="0.3">
      <c r="C119"/>
    </row>
    <row r="120" spans="3:3" x14ac:dyDescent="0.3">
      <c r="C120"/>
    </row>
    <row r="121" spans="3:3" x14ac:dyDescent="0.3">
      <c r="C121"/>
    </row>
    <row r="122" spans="3:3" x14ac:dyDescent="0.3">
      <c r="C122"/>
    </row>
    <row r="123" spans="3:3" x14ac:dyDescent="0.3">
      <c r="C123"/>
    </row>
    <row r="124" spans="3:3" x14ac:dyDescent="0.3">
      <c r="C124"/>
    </row>
    <row r="125" spans="3:3" x14ac:dyDescent="0.3">
      <c r="C125"/>
    </row>
    <row r="126" spans="3:3" x14ac:dyDescent="0.3">
      <c r="C126"/>
    </row>
    <row r="127" spans="3:3" x14ac:dyDescent="0.3">
      <c r="C127"/>
    </row>
    <row r="128" spans="3:3" x14ac:dyDescent="0.3">
      <c r="C128"/>
    </row>
    <row r="129" spans="3:3" x14ac:dyDescent="0.3">
      <c r="C129"/>
    </row>
    <row r="130" spans="3:3" x14ac:dyDescent="0.3">
      <c r="C130"/>
    </row>
    <row r="131" spans="3:3" x14ac:dyDescent="0.3">
      <c r="C131"/>
    </row>
    <row r="132" spans="3:3" x14ac:dyDescent="0.3">
      <c r="C132"/>
    </row>
    <row r="133" spans="3:3" x14ac:dyDescent="0.3">
      <c r="C133"/>
    </row>
    <row r="134" spans="3:3" x14ac:dyDescent="0.3">
      <c r="C134"/>
    </row>
    <row r="135" spans="3:3" x14ac:dyDescent="0.3">
      <c r="C135"/>
    </row>
    <row r="136" spans="3:3" x14ac:dyDescent="0.3">
      <c r="C136"/>
    </row>
    <row r="137" spans="3:3" x14ac:dyDescent="0.3">
      <c r="C137"/>
    </row>
    <row r="138" spans="3:3" x14ac:dyDescent="0.3">
      <c r="C138"/>
    </row>
    <row r="139" spans="3:3" x14ac:dyDescent="0.3">
      <c r="C139"/>
    </row>
    <row r="140" spans="3:3" x14ac:dyDescent="0.3">
      <c r="C140"/>
    </row>
    <row r="141" spans="3:3" x14ac:dyDescent="0.3">
      <c r="C141"/>
    </row>
    <row r="142" spans="3:3" x14ac:dyDescent="0.3">
      <c r="C142"/>
    </row>
    <row r="143" spans="3:3" x14ac:dyDescent="0.3">
      <c r="C143"/>
    </row>
    <row r="144" spans="3:3" x14ac:dyDescent="0.3">
      <c r="C144"/>
    </row>
    <row r="145" spans="3:3" x14ac:dyDescent="0.3">
      <c r="C145"/>
    </row>
    <row r="146" spans="3:3" x14ac:dyDescent="0.3">
      <c r="C146"/>
    </row>
    <row r="147" spans="3:3" x14ac:dyDescent="0.3">
      <c r="C147"/>
    </row>
    <row r="148" spans="3:3" x14ac:dyDescent="0.3">
      <c r="C148"/>
    </row>
    <row r="149" spans="3:3" x14ac:dyDescent="0.3">
      <c r="C149"/>
    </row>
    <row r="150" spans="3:3" x14ac:dyDescent="0.3">
      <c r="C150"/>
    </row>
    <row r="151" spans="3:3" x14ac:dyDescent="0.3">
      <c r="C151"/>
    </row>
    <row r="152" spans="3:3" x14ac:dyDescent="0.3">
      <c r="C152"/>
    </row>
    <row r="153" spans="3:3" x14ac:dyDescent="0.3">
      <c r="C153"/>
    </row>
    <row r="154" spans="3:3" x14ac:dyDescent="0.3">
      <c r="C154"/>
    </row>
    <row r="155" spans="3:3" x14ac:dyDescent="0.3">
      <c r="C155"/>
    </row>
    <row r="156" spans="3:3" x14ac:dyDescent="0.3">
      <c r="C156"/>
    </row>
    <row r="157" spans="3:3" x14ac:dyDescent="0.3">
      <c r="C157"/>
    </row>
    <row r="158" spans="3:3" x14ac:dyDescent="0.3">
      <c r="C158"/>
    </row>
    <row r="159" spans="3:3" x14ac:dyDescent="0.3">
      <c r="C159"/>
    </row>
    <row r="160" spans="3:3" x14ac:dyDescent="0.3">
      <c r="C160"/>
    </row>
    <row r="161" spans="3:3" x14ac:dyDescent="0.3">
      <c r="C161"/>
    </row>
    <row r="162" spans="3:3" x14ac:dyDescent="0.3">
      <c r="C162"/>
    </row>
    <row r="163" spans="3:3" x14ac:dyDescent="0.3">
      <c r="C163"/>
    </row>
    <row r="164" spans="3:3" x14ac:dyDescent="0.3">
      <c r="C164"/>
    </row>
    <row r="165" spans="3:3" x14ac:dyDescent="0.3">
      <c r="C165"/>
    </row>
    <row r="166" spans="3:3" x14ac:dyDescent="0.3">
      <c r="C166"/>
    </row>
    <row r="167" spans="3:3" x14ac:dyDescent="0.3">
      <c r="C167"/>
    </row>
    <row r="168" spans="3:3" x14ac:dyDescent="0.3">
      <c r="C168"/>
    </row>
    <row r="169" spans="3:3" x14ac:dyDescent="0.3">
      <c r="C169"/>
    </row>
    <row r="170" spans="3:3" x14ac:dyDescent="0.3">
      <c r="C170"/>
    </row>
    <row r="171" spans="3:3" x14ac:dyDescent="0.3">
      <c r="C171"/>
    </row>
    <row r="172" spans="3:3" x14ac:dyDescent="0.3">
      <c r="C172"/>
    </row>
    <row r="173" spans="3:3" x14ac:dyDescent="0.3">
      <c r="C173"/>
    </row>
    <row r="174" spans="3:3" x14ac:dyDescent="0.3">
      <c r="C174"/>
    </row>
    <row r="175" spans="3:3" x14ac:dyDescent="0.3">
      <c r="C175"/>
    </row>
    <row r="176" spans="3:3" x14ac:dyDescent="0.3">
      <c r="C176"/>
    </row>
    <row r="177" spans="3:3" x14ac:dyDescent="0.3">
      <c r="C177"/>
    </row>
    <row r="178" spans="3:3" x14ac:dyDescent="0.3">
      <c r="C178"/>
    </row>
    <row r="179" spans="3:3" x14ac:dyDescent="0.3">
      <c r="C179"/>
    </row>
    <row r="180" spans="3:3" x14ac:dyDescent="0.3">
      <c r="C180"/>
    </row>
    <row r="181" spans="3:3" x14ac:dyDescent="0.3">
      <c r="C181"/>
    </row>
    <row r="182" spans="3:3" x14ac:dyDescent="0.3">
      <c r="C182"/>
    </row>
    <row r="183" spans="3:3" x14ac:dyDescent="0.3">
      <c r="C183"/>
    </row>
    <row r="184" spans="3:3" x14ac:dyDescent="0.3">
      <c r="C184"/>
    </row>
    <row r="185" spans="3:3" x14ac:dyDescent="0.3">
      <c r="C185"/>
    </row>
    <row r="186" spans="3:3" x14ac:dyDescent="0.3">
      <c r="C186"/>
    </row>
    <row r="187" spans="3:3" x14ac:dyDescent="0.3">
      <c r="C187"/>
    </row>
    <row r="188" spans="3:3" x14ac:dyDescent="0.3">
      <c r="C188"/>
    </row>
    <row r="189" spans="3:3" x14ac:dyDescent="0.3">
      <c r="C189"/>
    </row>
    <row r="190" spans="3:3" x14ac:dyDescent="0.3">
      <c r="C190"/>
    </row>
    <row r="191" spans="3:3" x14ac:dyDescent="0.3">
      <c r="C191"/>
    </row>
    <row r="192" spans="3:3" x14ac:dyDescent="0.3">
      <c r="C192"/>
    </row>
    <row r="193" spans="3:3" x14ac:dyDescent="0.3">
      <c r="C193"/>
    </row>
    <row r="194" spans="3:3" x14ac:dyDescent="0.3">
      <c r="C194"/>
    </row>
    <row r="195" spans="3:3" x14ac:dyDescent="0.3">
      <c r="C195"/>
    </row>
    <row r="196" spans="3:3" x14ac:dyDescent="0.3">
      <c r="C196"/>
    </row>
    <row r="197" spans="3:3" x14ac:dyDescent="0.3">
      <c r="C197"/>
    </row>
    <row r="198" spans="3:3" x14ac:dyDescent="0.3">
      <c r="C198"/>
    </row>
    <row r="199" spans="3:3" x14ac:dyDescent="0.3">
      <c r="C199"/>
    </row>
    <row r="200" spans="3:3" x14ac:dyDescent="0.3">
      <c r="C200"/>
    </row>
    <row r="201" spans="3:3" x14ac:dyDescent="0.3">
      <c r="C201"/>
    </row>
    <row r="202" spans="3:3" x14ac:dyDescent="0.3">
      <c r="C202"/>
    </row>
    <row r="203" spans="3:3" x14ac:dyDescent="0.3">
      <c r="C203"/>
    </row>
    <row r="204" spans="3:3" x14ac:dyDescent="0.3">
      <c r="C204"/>
    </row>
    <row r="205" spans="3:3" x14ac:dyDescent="0.3">
      <c r="C205"/>
    </row>
    <row r="206" spans="3:3" x14ac:dyDescent="0.3">
      <c r="C206"/>
    </row>
    <row r="207" spans="3:3" x14ac:dyDescent="0.3">
      <c r="C207"/>
    </row>
    <row r="208" spans="3:3" x14ac:dyDescent="0.3">
      <c r="C208"/>
    </row>
    <row r="209" spans="3:3" x14ac:dyDescent="0.3">
      <c r="C209"/>
    </row>
    <row r="210" spans="3:3" x14ac:dyDescent="0.3">
      <c r="C210"/>
    </row>
    <row r="211" spans="3:3" x14ac:dyDescent="0.3">
      <c r="C211"/>
    </row>
    <row r="212" spans="3:3" x14ac:dyDescent="0.3">
      <c r="C212"/>
    </row>
    <row r="213" spans="3:3" x14ac:dyDescent="0.3">
      <c r="C213"/>
    </row>
    <row r="214" spans="3:3" x14ac:dyDescent="0.3">
      <c r="C214"/>
    </row>
    <row r="215" spans="3:3" x14ac:dyDescent="0.3">
      <c r="C215"/>
    </row>
    <row r="216" spans="3:3" x14ac:dyDescent="0.3">
      <c r="C216"/>
    </row>
    <row r="217" spans="3:3" x14ac:dyDescent="0.3">
      <c r="C217"/>
    </row>
    <row r="218" spans="3:3" x14ac:dyDescent="0.3">
      <c r="C218"/>
    </row>
    <row r="219" spans="3:3" x14ac:dyDescent="0.3">
      <c r="C219"/>
    </row>
    <row r="220" spans="3:3" x14ac:dyDescent="0.3">
      <c r="C220"/>
    </row>
    <row r="221" spans="3:3" x14ac:dyDescent="0.3">
      <c r="C221"/>
    </row>
    <row r="222" spans="3:3" x14ac:dyDescent="0.3">
      <c r="C222"/>
    </row>
    <row r="223" spans="3:3" x14ac:dyDescent="0.3">
      <c r="C223"/>
    </row>
    <row r="224" spans="3:3" x14ac:dyDescent="0.3">
      <c r="C224"/>
    </row>
    <row r="225" spans="3:3" x14ac:dyDescent="0.3">
      <c r="C225"/>
    </row>
    <row r="226" spans="3:3" x14ac:dyDescent="0.3">
      <c r="C226"/>
    </row>
    <row r="227" spans="3:3" x14ac:dyDescent="0.3">
      <c r="C227"/>
    </row>
    <row r="228" spans="3:3" x14ac:dyDescent="0.3">
      <c r="C228"/>
    </row>
    <row r="229" spans="3:3" x14ac:dyDescent="0.3">
      <c r="C229"/>
    </row>
    <row r="230" spans="3:3" x14ac:dyDescent="0.3">
      <c r="C230"/>
    </row>
    <row r="231" spans="3:3" x14ac:dyDescent="0.3">
      <c r="C231"/>
    </row>
    <row r="232" spans="3:3" x14ac:dyDescent="0.3">
      <c r="C232"/>
    </row>
    <row r="233" spans="3:3" x14ac:dyDescent="0.3">
      <c r="C233"/>
    </row>
    <row r="234" spans="3:3" x14ac:dyDescent="0.3">
      <c r="C234"/>
    </row>
    <row r="235" spans="3:3" x14ac:dyDescent="0.3">
      <c r="C235"/>
    </row>
    <row r="236" spans="3:3" x14ac:dyDescent="0.3">
      <c r="C236"/>
    </row>
    <row r="237" spans="3:3" x14ac:dyDescent="0.3">
      <c r="C237"/>
    </row>
    <row r="238" spans="3:3" x14ac:dyDescent="0.3">
      <c r="C238"/>
    </row>
    <row r="239" spans="3:3" x14ac:dyDescent="0.3">
      <c r="C239"/>
    </row>
    <row r="240" spans="3:3" x14ac:dyDescent="0.3">
      <c r="C240"/>
    </row>
    <row r="241" spans="3:3" x14ac:dyDescent="0.3">
      <c r="C241"/>
    </row>
    <row r="242" spans="3:3" x14ac:dyDescent="0.3">
      <c r="C242"/>
    </row>
    <row r="243" spans="3:3" x14ac:dyDescent="0.3">
      <c r="C243"/>
    </row>
    <row r="244" spans="3:3" x14ac:dyDescent="0.3">
      <c r="C244"/>
    </row>
    <row r="245" spans="3:3" x14ac:dyDescent="0.3">
      <c r="C245"/>
    </row>
    <row r="246" spans="3:3" x14ac:dyDescent="0.3">
      <c r="C246"/>
    </row>
    <row r="247" spans="3:3" x14ac:dyDescent="0.3">
      <c r="C247"/>
    </row>
    <row r="248" spans="3:3" x14ac:dyDescent="0.3">
      <c r="C248"/>
    </row>
    <row r="249" spans="3:3" x14ac:dyDescent="0.3">
      <c r="C249"/>
    </row>
    <row r="250" spans="3:3" x14ac:dyDescent="0.3">
      <c r="C250"/>
    </row>
    <row r="251" spans="3:3" x14ac:dyDescent="0.3">
      <c r="C251"/>
    </row>
    <row r="252" spans="3:3" x14ac:dyDescent="0.3">
      <c r="C252"/>
    </row>
    <row r="253" spans="3:3" x14ac:dyDescent="0.3">
      <c r="C253"/>
    </row>
    <row r="254" spans="3:3" x14ac:dyDescent="0.3">
      <c r="C254"/>
    </row>
    <row r="255" spans="3:3" x14ac:dyDescent="0.3">
      <c r="C255"/>
    </row>
    <row r="256" spans="3:3" x14ac:dyDescent="0.3">
      <c r="C256"/>
    </row>
    <row r="257" spans="3:3" x14ac:dyDescent="0.3">
      <c r="C257"/>
    </row>
    <row r="258" spans="3:3" x14ac:dyDescent="0.3">
      <c r="C258"/>
    </row>
    <row r="259" spans="3:3" x14ac:dyDescent="0.3">
      <c r="C259"/>
    </row>
    <row r="260" spans="3:3" x14ac:dyDescent="0.3">
      <c r="C260"/>
    </row>
    <row r="261" spans="3:3" x14ac:dyDescent="0.3">
      <c r="C261"/>
    </row>
    <row r="262" spans="3:3" x14ac:dyDescent="0.3">
      <c r="C262"/>
    </row>
    <row r="263" spans="3:3" x14ac:dyDescent="0.3">
      <c r="C263"/>
    </row>
    <row r="264" spans="3:3" x14ac:dyDescent="0.3">
      <c r="C264"/>
    </row>
    <row r="265" spans="3:3" x14ac:dyDescent="0.3">
      <c r="C265"/>
    </row>
    <row r="266" spans="3:3" x14ac:dyDescent="0.3">
      <c r="C266"/>
    </row>
    <row r="267" spans="3:3" x14ac:dyDescent="0.3">
      <c r="C267"/>
    </row>
    <row r="268" spans="3:3" x14ac:dyDescent="0.3">
      <c r="C268"/>
    </row>
    <row r="269" spans="3:3" x14ac:dyDescent="0.3">
      <c r="C269"/>
    </row>
    <row r="270" spans="3:3" x14ac:dyDescent="0.3">
      <c r="C270"/>
    </row>
    <row r="271" spans="3:3" x14ac:dyDescent="0.3">
      <c r="C271"/>
    </row>
    <row r="272" spans="3:3" x14ac:dyDescent="0.3">
      <c r="C272"/>
    </row>
    <row r="273" spans="3:3" x14ac:dyDescent="0.3">
      <c r="C273"/>
    </row>
    <row r="274" spans="3:3" x14ac:dyDescent="0.3">
      <c r="C274"/>
    </row>
    <row r="275" spans="3:3" x14ac:dyDescent="0.3">
      <c r="C275"/>
    </row>
    <row r="276" spans="3:3" x14ac:dyDescent="0.3">
      <c r="C276"/>
    </row>
    <row r="277" spans="3:3" x14ac:dyDescent="0.3">
      <c r="C277"/>
    </row>
    <row r="278" spans="3:3" x14ac:dyDescent="0.3">
      <c r="C278"/>
    </row>
    <row r="279" spans="3:3" x14ac:dyDescent="0.3">
      <c r="C279"/>
    </row>
    <row r="280" spans="3:3" x14ac:dyDescent="0.3">
      <c r="C280"/>
    </row>
    <row r="281" spans="3:3" x14ac:dyDescent="0.3">
      <c r="C281"/>
    </row>
    <row r="282" spans="3:3" x14ac:dyDescent="0.3">
      <c r="C282"/>
    </row>
    <row r="283" spans="3:3" x14ac:dyDescent="0.3">
      <c r="C283"/>
    </row>
    <row r="284" spans="3:3" x14ac:dyDescent="0.3">
      <c r="C284"/>
    </row>
    <row r="285" spans="3:3" x14ac:dyDescent="0.3">
      <c r="C285"/>
    </row>
    <row r="286" spans="3:3" x14ac:dyDescent="0.3">
      <c r="C286"/>
    </row>
    <row r="287" spans="3:3" x14ac:dyDescent="0.3">
      <c r="C287"/>
    </row>
    <row r="288" spans="3:3" x14ac:dyDescent="0.3">
      <c r="C288"/>
    </row>
    <row r="289" spans="3:3" x14ac:dyDescent="0.3">
      <c r="C289"/>
    </row>
    <row r="290" spans="3:3" x14ac:dyDescent="0.3">
      <c r="C290"/>
    </row>
    <row r="291" spans="3:3" x14ac:dyDescent="0.3">
      <c r="C291"/>
    </row>
    <row r="292" spans="3:3" x14ac:dyDescent="0.3">
      <c r="C292"/>
    </row>
    <row r="293" spans="3:3" x14ac:dyDescent="0.3">
      <c r="C293"/>
    </row>
    <row r="294" spans="3:3" x14ac:dyDescent="0.3">
      <c r="C294"/>
    </row>
    <row r="295" spans="3:3" x14ac:dyDescent="0.3">
      <c r="C295"/>
    </row>
    <row r="296" spans="3:3" x14ac:dyDescent="0.3">
      <c r="C296"/>
    </row>
    <row r="297" spans="3:3" x14ac:dyDescent="0.3">
      <c r="C297"/>
    </row>
    <row r="298" spans="3:3" x14ac:dyDescent="0.3">
      <c r="C298"/>
    </row>
    <row r="299" spans="3:3" x14ac:dyDescent="0.3">
      <c r="C299"/>
    </row>
    <row r="300" spans="3:3" x14ac:dyDescent="0.3">
      <c r="C300"/>
    </row>
    <row r="301" spans="3:3" x14ac:dyDescent="0.3">
      <c r="C301"/>
    </row>
    <row r="302" spans="3:3" x14ac:dyDescent="0.3">
      <c r="C302"/>
    </row>
    <row r="303" spans="3:3" x14ac:dyDescent="0.3">
      <c r="C303"/>
    </row>
    <row r="304" spans="3:3" x14ac:dyDescent="0.3">
      <c r="C304"/>
    </row>
    <row r="305" spans="3:3" x14ac:dyDescent="0.3">
      <c r="C305"/>
    </row>
    <row r="306" spans="3:3" x14ac:dyDescent="0.3">
      <c r="C306"/>
    </row>
    <row r="307" spans="3:3" x14ac:dyDescent="0.3">
      <c r="C307"/>
    </row>
    <row r="308" spans="3:3" x14ac:dyDescent="0.3">
      <c r="C308"/>
    </row>
    <row r="309" spans="3:3" x14ac:dyDescent="0.3">
      <c r="C309"/>
    </row>
    <row r="310" spans="3:3" x14ac:dyDescent="0.3">
      <c r="C310"/>
    </row>
    <row r="311" spans="3:3" x14ac:dyDescent="0.3">
      <c r="C311"/>
    </row>
    <row r="312" spans="3:3" x14ac:dyDescent="0.3">
      <c r="C312"/>
    </row>
    <row r="313" spans="3:3" x14ac:dyDescent="0.3">
      <c r="C313"/>
    </row>
    <row r="314" spans="3:3" x14ac:dyDescent="0.3">
      <c r="C314"/>
    </row>
    <row r="315" spans="3:3" x14ac:dyDescent="0.3">
      <c r="C315"/>
    </row>
    <row r="316" spans="3:3" x14ac:dyDescent="0.3">
      <c r="C316"/>
    </row>
    <row r="317" spans="3:3" x14ac:dyDescent="0.3">
      <c r="C317"/>
    </row>
    <row r="318" spans="3:3" x14ac:dyDescent="0.3">
      <c r="C318"/>
    </row>
    <row r="319" spans="3:3" x14ac:dyDescent="0.3">
      <c r="C319"/>
    </row>
    <row r="320" spans="3:3" x14ac:dyDescent="0.3">
      <c r="C320"/>
    </row>
    <row r="321" spans="3:3" x14ac:dyDescent="0.3">
      <c r="C321"/>
    </row>
    <row r="322" spans="3:3" x14ac:dyDescent="0.3">
      <c r="C322"/>
    </row>
    <row r="323" spans="3:3" x14ac:dyDescent="0.3">
      <c r="C323"/>
    </row>
    <row r="324" spans="3:3" x14ac:dyDescent="0.3">
      <c r="C324"/>
    </row>
    <row r="325" spans="3:3" x14ac:dyDescent="0.3">
      <c r="C325"/>
    </row>
    <row r="326" spans="3:3" x14ac:dyDescent="0.3">
      <c r="C326"/>
    </row>
    <row r="327" spans="3:3" x14ac:dyDescent="0.3">
      <c r="C327"/>
    </row>
    <row r="328" spans="3:3" x14ac:dyDescent="0.3">
      <c r="C328"/>
    </row>
    <row r="329" spans="3:3" x14ac:dyDescent="0.3">
      <c r="C329"/>
    </row>
    <row r="330" spans="3:3" x14ac:dyDescent="0.3">
      <c r="C330"/>
    </row>
    <row r="331" spans="3:3" x14ac:dyDescent="0.3">
      <c r="C331"/>
    </row>
    <row r="332" spans="3:3" x14ac:dyDescent="0.3">
      <c r="C332"/>
    </row>
    <row r="333" spans="3:3" x14ac:dyDescent="0.3">
      <c r="C333"/>
    </row>
    <row r="334" spans="3:3" x14ac:dyDescent="0.3">
      <c r="C334"/>
    </row>
    <row r="335" spans="3:3" x14ac:dyDescent="0.3">
      <c r="C335"/>
    </row>
    <row r="336" spans="3:3" x14ac:dyDescent="0.3">
      <c r="C336"/>
    </row>
    <row r="337" spans="3:3" x14ac:dyDescent="0.3">
      <c r="C337"/>
    </row>
    <row r="338" spans="3:3" x14ac:dyDescent="0.3">
      <c r="C338"/>
    </row>
    <row r="339" spans="3:3" x14ac:dyDescent="0.3">
      <c r="C339"/>
    </row>
    <row r="340" spans="3:3" x14ac:dyDescent="0.3">
      <c r="C340"/>
    </row>
    <row r="341" spans="3:3" x14ac:dyDescent="0.3">
      <c r="C341"/>
    </row>
    <row r="342" spans="3:3" x14ac:dyDescent="0.3">
      <c r="C342"/>
    </row>
    <row r="343" spans="3:3" x14ac:dyDescent="0.3">
      <c r="C343"/>
    </row>
    <row r="344" spans="3:3" x14ac:dyDescent="0.3">
      <c r="C344"/>
    </row>
    <row r="345" spans="3:3" x14ac:dyDescent="0.3">
      <c r="C345"/>
    </row>
    <row r="346" spans="3:3" x14ac:dyDescent="0.3">
      <c r="C346"/>
    </row>
    <row r="347" spans="3:3" x14ac:dyDescent="0.3">
      <c r="C347"/>
    </row>
    <row r="348" spans="3:3" x14ac:dyDescent="0.3">
      <c r="C348"/>
    </row>
    <row r="349" spans="3:3" x14ac:dyDescent="0.3">
      <c r="C349"/>
    </row>
    <row r="350" spans="3:3" x14ac:dyDescent="0.3">
      <c r="C350"/>
    </row>
    <row r="351" spans="3:3" x14ac:dyDescent="0.3">
      <c r="C351"/>
    </row>
    <row r="352" spans="3:3" x14ac:dyDescent="0.3">
      <c r="C352"/>
    </row>
    <row r="353" spans="3:3" x14ac:dyDescent="0.3">
      <c r="C353"/>
    </row>
    <row r="354" spans="3:3" x14ac:dyDescent="0.3">
      <c r="C354"/>
    </row>
    <row r="355" spans="3:3" x14ac:dyDescent="0.3">
      <c r="C355"/>
    </row>
    <row r="356" spans="3:3" x14ac:dyDescent="0.3">
      <c r="C356"/>
    </row>
  </sheetData>
  <mergeCells count="2">
    <mergeCell ref="A2:D2"/>
    <mergeCell ref="E2:F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61DA4-D929-456C-843D-81B935FC3A42}">
  <dimension ref="B1:L21"/>
  <sheetViews>
    <sheetView showGridLines="0" topLeftCell="B1" workbookViewId="0">
      <selection activeCell="H8" sqref="H8"/>
    </sheetView>
  </sheetViews>
  <sheetFormatPr defaultRowHeight="14.4" x14ac:dyDescent="0.3"/>
  <cols>
    <col min="1" max="1" width="3" customWidth="1"/>
    <col min="2" max="2" width="3.88671875" bestFit="1" customWidth="1"/>
    <col min="3" max="3" width="23.5546875" customWidth="1"/>
    <col min="4" max="4" width="25.88671875" bestFit="1" customWidth="1"/>
    <col min="5" max="5" width="19.44140625" bestFit="1" customWidth="1"/>
    <col min="6" max="6" width="2.6640625" customWidth="1"/>
    <col min="7" max="7" width="36.44140625" bestFit="1" customWidth="1"/>
    <col min="8" max="8" width="24" style="29" bestFit="1" customWidth="1"/>
    <col min="9" max="9" width="2.88671875" customWidth="1"/>
    <col min="10" max="10" width="12.44140625" bestFit="1" customWidth="1"/>
    <col min="12" max="12" width="12.44140625" bestFit="1" customWidth="1"/>
  </cols>
  <sheetData>
    <row r="1" spans="2:12" ht="19.8" x14ac:dyDescent="0.4">
      <c r="B1" s="40" t="s">
        <v>274</v>
      </c>
      <c r="C1" s="40" t="s">
        <v>201</v>
      </c>
      <c r="D1" s="41" t="s">
        <v>202</v>
      </c>
      <c r="E1" s="108" t="s">
        <v>315</v>
      </c>
      <c r="H1" s="47"/>
    </row>
    <row r="2" spans="2:12" x14ac:dyDescent="0.3">
      <c r="B2" s="44">
        <v>1</v>
      </c>
      <c r="C2" s="44" t="s">
        <v>204</v>
      </c>
      <c r="D2" s="45">
        <v>1000</v>
      </c>
      <c r="E2" s="101" t="str">
        <f>IF(D2&gt;$H$2,"ACIMA","ABAIXO")</f>
        <v>ACIMA</v>
      </c>
      <c r="G2" s="74" t="s">
        <v>314</v>
      </c>
      <c r="H2" s="75">
        <v>480</v>
      </c>
      <c r="J2" s="22"/>
      <c r="K2" s="107" t="s">
        <v>313</v>
      </c>
      <c r="L2" s="106"/>
    </row>
    <row r="3" spans="2:12" x14ac:dyDescent="0.3">
      <c r="B3" s="44">
        <v>2</v>
      </c>
      <c r="C3" s="44" t="s">
        <v>206</v>
      </c>
      <c r="D3" s="45">
        <v>244</v>
      </c>
      <c r="E3" s="101" t="str">
        <f>IF(D3&gt;$H$2,"ACIMA","ABAIXO")</f>
        <v>ABAIXO</v>
      </c>
      <c r="G3" s="74" t="s">
        <v>312</v>
      </c>
      <c r="H3" s="75">
        <v>5000</v>
      </c>
      <c r="J3" s="22"/>
      <c r="K3" s="105" t="s">
        <v>311</v>
      </c>
      <c r="L3" s="104"/>
    </row>
    <row r="4" spans="2:12" x14ac:dyDescent="0.3">
      <c r="B4" s="44">
        <v>3</v>
      </c>
      <c r="C4" s="44" t="s">
        <v>207</v>
      </c>
      <c r="D4" s="45">
        <v>168</v>
      </c>
      <c r="E4" s="101" t="str">
        <f>IF(D4&gt;$H$2,"ACIMA","ABAIXO")</f>
        <v>ABAIXO</v>
      </c>
      <c r="G4" s="74" t="s">
        <v>310</v>
      </c>
      <c r="H4" s="82" t="str">
        <f>IF(H16&gt;H2,"ACIMA","ABAIXO")</f>
        <v>ABAIXO</v>
      </c>
      <c r="K4" s="105" t="s">
        <v>309</v>
      </c>
      <c r="L4" s="104"/>
    </row>
    <row r="5" spans="2:12" x14ac:dyDescent="0.3">
      <c r="B5" s="44">
        <v>4</v>
      </c>
      <c r="C5" s="44" t="s">
        <v>209</v>
      </c>
      <c r="D5" s="45">
        <v>197</v>
      </c>
      <c r="E5" s="101" t="str">
        <f>IF(D5&gt;$H$2,"ACIMA","ABAIXO")</f>
        <v>ABAIXO</v>
      </c>
      <c r="G5" s="74" t="s">
        <v>308</v>
      </c>
      <c r="H5" s="82" t="str">
        <f>IF(H17&gt;H3,"ACIMA", "ABAIXO")</f>
        <v>ACIMA</v>
      </c>
      <c r="K5" s="103" t="s">
        <v>307</v>
      </c>
      <c r="L5" s="103"/>
    </row>
    <row r="6" spans="2:12" x14ac:dyDescent="0.3">
      <c r="B6" s="44">
        <v>5</v>
      </c>
      <c r="C6" s="44" t="s">
        <v>211</v>
      </c>
      <c r="D6" s="45"/>
      <c r="E6" s="101" t="str">
        <f>IF(D6&gt;$H$2,"ACIMA","ABAIXO")</f>
        <v>ABAIXO</v>
      </c>
    </row>
    <row r="7" spans="2:12" x14ac:dyDescent="0.3">
      <c r="B7" s="44">
        <v>6</v>
      </c>
      <c r="C7" s="44" t="s">
        <v>212</v>
      </c>
      <c r="D7" s="45">
        <v>400</v>
      </c>
      <c r="E7" s="101" t="str">
        <f>IF(D7&gt;$H$2,"ACIMA","ABAIXO")</f>
        <v>ABAIXO</v>
      </c>
      <c r="G7" s="74" t="s">
        <v>285</v>
      </c>
      <c r="H7" s="76">
        <v>21</v>
      </c>
    </row>
    <row r="8" spans="2:12" x14ac:dyDescent="0.3">
      <c r="B8" s="44">
        <v>7</v>
      </c>
      <c r="C8" s="44" t="s">
        <v>214</v>
      </c>
      <c r="D8" s="45">
        <v>364</v>
      </c>
      <c r="E8" s="101" t="str">
        <f>IF(D8&gt;$H$2,"ACIMA","ABAIXO")</f>
        <v>ABAIXO</v>
      </c>
      <c r="G8" s="74" t="s">
        <v>288</v>
      </c>
      <c r="H8" s="75" t="str">
        <f>IFERROR(VLOOKUP(H7,B2:C21,2,0),"ID NÃO ENCONTRADO")</f>
        <v>ID NÃO ENCONTRADO</v>
      </c>
    </row>
    <row r="9" spans="2:12" x14ac:dyDescent="0.3">
      <c r="B9" s="44">
        <v>8</v>
      </c>
      <c r="C9" s="44" t="s">
        <v>215</v>
      </c>
      <c r="D9" s="45"/>
      <c r="E9" s="101" t="str">
        <f>IF(D9&gt;$H$2,"ACIMA","ABAIXO")</f>
        <v>ABAIXO</v>
      </c>
      <c r="G9" s="74" t="s">
        <v>202</v>
      </c>
      <c r="H9" s="75" t="str">
        <f>IFERROR(VLOOKUP(H7,B2:D21,3,0),"ID NÃO ENCONTRADO")</f>
        <v>ID NÃO ENCONTRADO</v>
      </c>
    </row>
    <row r="10" spans="2:12" x14ac:dyDescent="0.3">
      <c r="B10" s="44">
        <v>9</v>
      </c>
      <c r="C10" s="44" t="s">
        <v>217</v>
      </c>
      <c r="D10" s="45">
        <v>252</v>
      </c>
      <c r="E10" s="101" t="str">
        <f>IF(D10&gt;$H$2,"ACIMA","ABAIXO")</f>
        <v>ABAIXO</v>
      </c>
    </row>
    <row r="11" spans="2:12" x14ac:dyDescent="0.3">
      <c r="B11" s="44">
        <v>10</v>
      </c>
      <c r="C11" s="44" t="s">
        <v>218</v>
      </c>
      <c r="D11" s="45">
        <v>2000</v>
      </c>
      <c r="E11" s="101" t="str">
        <f>IF(D11&gt;$H$2,"ACIMA","ABAIXO")</f>
        <v>ACIMA</v>
      </c>
      <c r="G11" s="74" t="s">
        <v>306</v>
      </c>
      <c r="H11" s="81" t="str">
        <f>IF(AND(H4="ACIMA",H5="ACIMA"),"SIM","NÃO")</f>
        <v>NÃO</v>
      </c>
    </row>
    <row r="12" spans="2:12" x14ac:dyDescent="0.3">
      <c r="B12" s="44">
        <v>11</v>
      </c>
      <c r="C12" s="44" t="s">
        <v>220</v>
      </c>
      <c r="D12" s="45">
        <v>497</v>
      </c>
      <c r="E12" s="101" t="str">
        <f>IF(D12&gt;$H$2,"ACIMA","ABAIXO")</f>
        <v>ACIMA</v>
      </c>
      <c r="G12" s="74" t="s">
        <v>305</v>
      </c>
      <c r="H12" s="81"/>
    </row>
    <row r="13" spans="2:12" x14ac:dyDescent="0.3">
      <c r="B13" s="44">
        <v>12</v>
      </c>
      <c r="C13" s="44" t="s">
        <v>222</v>
      </c>
      <c r="D13" s="45">
        <v>203</v>
      </c>
      <c r="E13" s="101" t="str">
        <f>IF(D13&gt;$H$2,"ACIMA","ABAIXO")</f>
        <v>ABAIXO</v>
      </c>
      <c r="G13" s="74" t="s">
        <v>304</v>
      </c>
      <c r="H13" s="76"/>
    </row>
    <row r="14" spans="2:12" x14ac:dyDescent="0.3">
      <c r="B14" s="44">
        <v>13</v>
      </c>
      <c r="C14" s="44" t="s">
        <v>224</v>
      </c>
      <c r="D14" s="45"/>
      <c r="E14" s="101" t="str">
        <f>IF(D14&gt;$H$2,"ACIMA","ABAIXO")</f>
        <v>ABAIXO</v>
      </c>
      <c r="H14"/>
      <c r="J14" s="102"/>
      <c r="K14" s="102"/>
      <c r="L14" s="102"/>
    </row>
    <row r="15" spans="2:12" x14ac:dyDescent="0.3">
      <c r="B15" s="44">
        <v>14</v>
      </c>
      <c r="C15" s="44" t="s">
        <v>226</v>
      </c>
      <c r="D15" s="45">
        <v>331</v>
      </c>
      <c r="E15" s="101" t="str">
        <f>IF(D15&gt;$H$2,"ACIMA","ABAIXO")</f>
        <v>ABAIXO</v>
      </c>
      <c r="J15" s="102"/>
      <c r="K15" s="102"/>
      <c r="L15" s="102"/>
    </row>
    <row r="16" spans="2:12" x14ac:dyDescent="0.3">
      <c r="B16" s="44">
        <v>15</v>
      </c>
      <c r="C16" s="44" t="s">
        <v>227</v>
      </c>
      <c r="D16" s="45">
        <v>104</v>
      </c>
      <c r="E16" s="101" t="str">
        <f>IF(D16&gt;$H$2,"ACIMA","ABAIXO")</f>
        <v>ABAIXO</v>
      </c>
      <c r="G16" s="74" t="s">
        <v>316</v>
      </c>
      <c r="H16" s="82">
        <f>AVERAGE(D2:D21)</f>
        <v>440.75</v>
      </c>
      <c r="J16" s="102"/>
      <c r="K16" s="102"/>
      <c r="L16" s="102"/>
    </row>
    <row r="17" spans="2:12" x14ac:dyDescent="0.3">
      <c r="B17" s="44">
        <v>16</v>
      </c>
      <c r="C17" s="44" t="s">
        <v>229</v>
      </c>
      <c r="D17" s="45">
        <v>96</v>
      </c>
      <c r="E17" s="101" t="str">
        <f>IF(D17&gt;$H$2,"ACIMA","ABAIXO")</f>
        <v>ABAIXO</v>
      </c>
      <c r="G17" s="74" t="s">
        <v>278</v>
      </c>
      <c r="H17" s="82">
        <f>SUM(D2:D21)</f>
        <v>7052</v>
      </c>
      <c r="J17" s="102"/>
      <c r="K17" s="102"/>
      <c r="L17" s="102"/>
    </row>
    <row r="18" spans="2:12" x14ac:dyDescent="0.3">
      <c r="B18" s="44">
        <v>17</v>
      </c>
      <c r="C18" s="44" t="s">
        <v>231</v>
      </c>
      <c r="D18" s="45"/>
      <c r="E18" s="101" t="str">
        <f>IF(D18&gt;$H$2,"ACIMA","ABAIXO")</f>
        <v>ABAIXO</v>
      </c>
      <c r="J18" s="102"/>
      <c r="K18" s="102"/>
      <c r="L18" s="102"/>
    </row>
    <row r="19" spans="2:12" x14ac:dyDescent="0.3">
      <c r="B19" s="44">
        <v>18</v>
      </c>
      <c r="C19" s="44" t="s">
        <v>233</v>
      </c>
      <c r="D19" s="45">
        <v>359</v>
      </c>
      <c r="E19" s="101" t="str">
        <f>IF(D19&gt;$H$2,"ACIMA","ABAIXO")</f>
        <v>ABAIXO</v>
      </c>
      <c r="J19" s="102"/>
      <c r="K19" s="102"/>
      <c r="L19" s="102"/>
    </row>
    <row r="20" spans="2:12" x14ac:dyDescent="0.3">
      <c r="B20" s="44">
        <v>19</v>
      </c>
      <c r="C20" s="44" t="s">
        <v>235</v>
      </c>
      <c r="D20" s="45">
        <v>476</v>
      </c>
      <c r="E20" s="101" t="str">
        <f>IF(D20&gt;$H$2,"ACIMA","ABAIXO")</f>
        <v>ABAIXO</v>
      </c>
    </row>
    <row r="21" spans="2:12" ht="15" thickBot="1" x14ac:dyDescent="0.35">
      <c r="B21" s="51">
        <v>20</v>
      </c>
      <c r="C21" s="51" t="s">
        <v>236</v>
      </c>
      <c r="D21" s="52">
        <v>361</v>
      </c>
      <c r="E21" s="101" t="str">
        <f>IF(D21&gt;$H$2,"ACIMA","ABAIXO")</f>
        <v>ABAIXO</v>
      </c>
    </row>
  </sheetData>
  <mergeCells count="4">
    <mergeCell ref="K3:L3"/>
    <mergeCell ref="K4:L4"/>
    <mergeCell ref="K5:L5"/>
    <mergeCell ref="K2:L2"/>
  </mergeCells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0CBEB-A437-4EE9-A2FD-1BEE87A078B3}">
  <dimension ref="B1:N21"/>
  <sheetViews>
    <sheetView showGridLines="0" workbookViewId="0">
      <selection activeCell="J26" sqref="J26"/>
    </sheetView>
  </sheetViews>
  <sheetFormatPr defaultRowHeight="14.4" x14ac:dyDescent="0.3"/>
  <cols>
    <col min="1" max="1" width="3" customWidth="1"/>
    <col min="2" max="2" width="3.88671875" bestFit="1" customWidth="1"/>
    <col min="3" max="3" width="23.5546875" customWidth="1"/>
    <col min="4" max="4" width="25.88671875" bestFit="1" customWidth="1"/>
    <col min="5" max="5" width="19.44140625" bestFit="1" customWidth="1"/>
    <col min="6" max="6" width="2.6640625" customWidth="1"/>
    <col min="7" max="7" width="36.44140625" bestFit="1" customWidth="1"/>
    <col min="8" max="8" width="24" style="29" bestFit="1" customWidth="1"/>
    <col min="9" max="9" width="19.44140625" customWidth="1"/>
    <col min="10" max="10" width="12.44140625" bestFit="1" customWidth="1"/>
    <col min="12" max="12" width="12.44140625" bestFit="1" customWidth="1"/>
  </cols>
  <sheetData>
    <row r="1" spans="2:14" ht="19.8" x14ac:dyDescent="0.4">
      <c r="B1" s="40" t="s">
        <v>274</v>
      </c>
      <c r="C1" s="40" t="s">
        <v>201</v>
      </c>
      <c r="D1" s="41" t="s">
        <v>202</v>
      </c>
      <c r="E1" s="108" t="s">
        <v>315</v>
      </c>
      <c r="H1" s="47"/>
    </row>
    <row r="2" spans="2:14" x14ac:dyDescent="0.3">
      <c r="B2" s="44">
        <v>1</v>
      </c>
      <c r="C2" s="44" t="s">
        <v>204</v>
      </c>
      <c r="D2" s="45">
        <v>1000</v>
      </c>
      <c r="E2" s="101" t="str">
        <f>IF(D2&gt;H$2,"ACIMA","ABAIXO")</f>
        <v>ACIMA</v>
      </c>
      <c r="G2" s="74" t="s">
        <v>314</v>
      </c>
      <c r="H2" s="75">
        <v>480</v>
      </c>
      <c r="J2" s="22"/>
      <c r="K2" s="107" t="s">
        <v>313</v>
      </c>
      <c r="L2" s="106"/>
    </row>
    <row r="3" spans="2:14" x14ac:dyDescent="0.3">
      <c r="B3" s="44">
        <v>2</v>
      </c>
      <c r="C3" s="44" t="s">
        <v>206</v>
      </c>
      <c r="D3" s="45">
        <v>244</v>
      </c>
      <c r="E3" s="101" t="str">
        <f t="shared" ref="E3:E21" si="0">IF(D3&gt;H$2,"ACIMA","ABAIXO")</f>
        <v>ABAIXO</v>
      </c>
      <c r="G3" s="74" t="s">
        <v>312</v>
      </c>
      <c r="H3" s="75">
        <v>5000</v>
      </c>
      <c r="J3" s="22"/>
      <c r="K3" s="105" t="s">
        <v>311</v>
      </c>
      <c r="L3" s="104"/>
    </row>
    <row r="4" spans="2:14" x14ac:dyDescent="0.3">
      <c r="B4" s="44">
        <v>3</v>
      </c>
      <c r="C4" s="44" t="s">
        <v>207</v>
      </c>
      <c r="D4" s="45">
        <v>168</v>
      </c>
      <c r="E4" s="101" t="str">
        <f t="shared" si="0"/>
        <v>ABAIXO</v>
      </c>
      <c r="G4" s="74" t="s">
        <v>310</v>
      </c>
      <c r="H4" s="82" t="str" cm="1">
        <f t="array" ref="H4">_xlfn.IFS(H16&lt;H2,"ABAIXO",H16&gt;H2,"ACIMA",H16=H2,"CRAVADA")</f>
        <v>ABAIXO</v>
      </c>
      <c r="I4" t="str">
        <f>IF(H16&lt;H2,"ABAIXO",IF(H16=H2,"CRAVADA","ACIMA"))</f>
        <v>ABAIXO</v>
      </c>
      <c r="K4" s="105" t="s">
        <v>309</v>
      </c>
      <c r="L4" s="104"/>
    </row>
    <row r="5" spans="2:14" x14ac:dyDescent="0.3">
      <c r="B5" s="44">
        <v>4</v>
      </c>
      <c r="C5" s="44" t="s">
        <v>209</v>
      </c>
      <c r="D5" s="45">
        <v>197</v>
      </c>
      <c r="E5" s="101" t="str">
        <f t="shared" si="0"/>
        <v>ABAIXO</v>
      </c>
      <c r="G5" s="74" t="s">
        <v>308</v>
      </c>
      <c r="H5" s="82" t="str" cm="1">
        <f t="array" ref="H5">_xlfn.IFS(H17&gt;H3,"ACIMA",H17&lt;H3,"ABAIXO",H17=H3,"CRAVADA")</f>
        <v>ACIMA</v>
      </c>
      <c r="K5" s="103" t="s">
        <v>307</v>
      </c>
      <c r="L5" s="103"/>
    </row>
    <row r="6" spans="2:14" x14ac:dyDescent="0.3">
      <c r="B6" s="44">
        <v>5</v>
      </c>
      <c r="C6" s="44" t="s">
        <v>211</v>
      </c>
      <c r="D6" s="45"/>
      <c r="E6" s="101" t="str">
        <f t="shared" si="0"/>
        <v>ABAIXO</v>
      </c>
    </row>
    <row r="7" spans="2:14" x14ac:dyDescent="0.3">
      <c r="B7" s="44">
        <v>6</v>
      </c>
      <c r="C7" s="44" t="s">
        <v>212</v>
      </c>
      <c r="D7" s="45">
        <v>400</v>
      </c>
      <c r="E7" s="101" t="str">
        <f t="shared" si="0"/>
        <v>ABAIXO</v>
      </c>
      <c r="G7" s="74" t="s">
        <v>285</v>
      </c>
      <c r="H7" s="76">
        <v>18</v>
      </c>
    </row>
    <row r="8" spans="2:14" x14ac:dyDescent="0.3">
      <c r="B8" s="44">
        <v>7</v>
      </c>
      <c r="C8" s="44" t="s">
        <v>214</v>
      </c>
      <c r="D8" s="45">
        <v>364</v>
      </c>
      <c r="E8" s="101" t="str">
        <f t="shared" si="0"/>
        <v>ABAIXO</v>
      </c>
      <c r="G8" s="74" t="s">
        <v>288</v>
      </c>
      <c r="H8" s="75" t="str">
        <f>VLOOKUP(H7,B2:C21,2,0)</f>
        <v>Lucas Prates</v>
      </c>
      <c r="K8" s="78" t="s">
        <v>317</v>
      </c>
      <c r="L8" s="78"/>
      <c r="M8" s="78"/>
      <c r="N8" s="78"/>
    </row>
    <row r="9" spans="2:14" x14ac:dyDescent="0.3">
      <c r="B9" s="44">
        <v>8</v>
      </c>
      <c r="C9" s="44" t="s">
        <v>215</v>
      </c>
      <c r="D9" s="45"/>
      <c r="E9" s="101" t="str">
        <f t="shared" si="0"/>
        <v>ABAIXO</v>
      </c>
      <c r="G9" s="74" t="s">
        <v>202</v>
      </c>
      <c r="H9" s="75">
        <f>VLOOKUP(H7,B2:D21,3,0)</f>
        <v>359</v>
      </c>
      <c r="K9" s="78"/>
      <c r="L9" s="78"/>
      <c r="M9" s="78"/>
      <c r="N9" s="78"/>
    </row>
    <row r="10" spans="2:14" x14ac:dyDescent="0.3">
      <c r="B10" s="44">
        <v>9</v>
      </c>
      <c r="C10" s="44" t="s">
        <v>217</v>
      </c>
      <c r="D10" s="45">
        <v>252</v>
      </c>
      <c r="E10" s="101" t="str">
        <f t="shared" si="0"/>
        <v>ABAIXO</v>
      </c>
      <c r="K10" s="109"/>
      <c r="L10" s="109"/>
      <c r="M10" s="109"/>
      <c r="N10" s="109"/>
    </row>
    <row r="11" spans="2:14" x14ac:dyDescent="0.3">
      <c r="B11" s="44">
        <v>10</v>
      </c>
      <c r="C11" s="44" t="s">
        <v>218</v>
      </c>
      <c r="D11" s="45">
        <v>2000</v>
      </c>
      <c r="E11" s="101" t="str">
        <f t="shared" si="0"/>
        <v>ACIMA</v>
      </c>
      <c r="G11" s="74" t="s">
        <v>306</v>
      </c>
      <c r="H11" s="81" t="str">
        <f>IF(AND(H5="ACIMA",H4="ACIMA"),"SIM","NÃO")</f>
        <v>NÃO</v>
      </c>
    </row>
    <row r="12" spans="2:14" x14ac:dyDescent="0.3">
      <c r="B12" s="44">
        <v>11</v>
      </c>
      <c r="C12" s="44" t="s">
        <v>220</v>
      </c>
      <c r="D12" s="45">
        <v>497</v>
      </c>
      <c r="E12" s="101" t="str">
        <f t="shared" si="0"/>
        <v>ACIMA</v>
      </c>
      <c r="G12" s="74" t="s">
        <v>305</v>
      </c>
      <c r="H12" s="81" t="str">
        <f>IF(OR(H4="ACIMA",H5="ACIMA"),"SIM","NÃO")</f>
        <v>SIM</v>
      </c>
    </row>
    <row r="13" spans="2:14" x14ac:dyDescent="0.3">
      <c r="B13" s="44">
        <v>12</v>
      </c>
      <c r="C13" s="44" t="s">
        <v>222</v>
      </c>
      <c r="D13" s="45">
        <v>203</v>
      </c>
      <c r="E13" s="101" t="str">
        <f t="shared" si="0"/>
        <v>ABAIXO</v>
      </c>
      <c r="G13" s="74" t="s">
        <v>304</v>
      </c>
      <c r="H13" s="76" t="str" cm="1">
        <f t="array" ref="H13">IFERROR(_xlfn.IFS(AND(H4="ABAIXO",H5="ABAIXO"),"NENHUMA META BATIDA",AND(H4="ABAIXO",H5="ACIMA"),"TICKET NÃO E VENDAS OK",AND(H4="ACIMA",H5="ABAIXO"),"TICKET OK E VENDAS OK",AND(H4="ACIMA",H5="ACIMA"),"TODOS OK"),"UMAS DAS METAS ESTÁ CRAVADA")</f>
        <v>TICKET NÃO E VENDAS OK</v>
      </c>
    </row>
    <row r="14" spans="2:14" x14ac:dyDescent="0.3">
      <c r="B14" s="44">
        <v>13</v>
      </c>
      <c r="C14" s="44" t="s">
        <v>224</v>
      </c>
      <c r="D14" s="45"/>
      <c r="E14" s="101" t="str">
        <f t="shared" si="0"/>
        <v>ABAIXO</v>
      </c>
      <c r="H14"/>
      <c r="J14" s="102"/>
      <c r="K14" s="102"/>
      <c r="L14" s="102"/>
    </row>
    <row r="15" spans="2:14" x14ac:dyDescent="0.3">
      <c r="B15" s="44">
        <v>14</v>
      </c>
      <c r="C15" s="44" t="s">
        <v>226</v>
      </c>
      <c r="D15" s="45">
        <v>331</v>
      </c>
      <c r="E15" s="101" t="str">
        <f t="shared" si="0"/>
        <v>ABAIXO</v>
      </c>
      <c r="H15" s="110"/>
      <c r="J15" s="102"/>
      <c r="K15" s="102"/>
      <c r="L15" s="102"/>
    </row>
    <row r="16" spans="2:14" x14ac:dyDescent="0.3">
      <c r="B16" s="44">
        <v>15</v>
      </c>
      <c r="C16" s="44" t="s">
        <v>227</v>
      </c>
      <c r="D16" s="45">
        <v>104</v>
      </c>
      <c r="E16" s="101" t="str">
        <f t="shared" si="0"/>
        <v>ABAIXO</v>
      </c>
      <c r="G16" s="74" t="s">
        <v>316</v>
      </c>
      <c r="H16" s="82">
        <f>AVERAGE(D2:D21)</f>
        <v>440.75</v>
      </c>
      <c r="J16" s="102"/>
      <c r="K16" s="102"/>
      <c r="L16" s="102"/>
    </row>
    <row r="17" spans="2:12" x14ac:dyDescent="0.3">
      <c r="B17" s="44">
        <v>16</v>
      </c>
      <c r="C17" s="44" t="s">
        <v>229</v>
      </c>
      <c r="D17" s="45">
        <v>96</v>
      </c>
      <c r="E17" s="101" t="str">
        <f t="shared" si="0"/>
        <v>ABAIXO</v>
      </c>
      <c r="G17" s="74" t="s">
        <v>278</v>
      </c>
      <c r="H17" s="82">
        <f>SUM(D2:D21)</f>
        <v>7052</v>
      </c>
      <c r="J17" s="102"/>
      <c r="K17" s="102"/>
      <c r="L17" s="102"/>
    </row>
    <row r="18" spans="2:12" x14ac:dyDescent="0.3">
      <c r="B18" s="44">
        <v>17</v>
      </c>
      <c r="C18" s="44" t="s">
        <v>231</v>
      </c>
      <c r="D18" s="45"/>
      <c r="E18" s="101" t="str">
        <f t="shared" si="0"/>
        <v>ABAIXO</v>
      </c>
      <c r="J18" s="102"/>
      <c r="K18" s="102"/>
      <c r="L18" s="102"/>
    </row>
    <row r="19" spans="2:12" x14ac:dyDescent="0.3">
      <c r="B19" s="44">
        <v>18</v>
      </c>
      <c r="C19" s="44" t="s">
        <v>233</v>
      </c>
      <c r="D19" s="45">
        <v>359</v>
      </c>
      <c r="E19" s="101" t="str">
        <f t="shared" si="0"/>
        <v>ABAIXO</v>
      </c>
      <c r="J19" s="102"/>
      <c r="K19" s="102"/>
      <c r="L19" s="102"/>
    </row>
    <row r="20" spans="2:12" x14ac:dyDescent="0.3">
      <c r="B20" s="44">
        <v>19</v>
      </c>
      <c r="C20" s="44" t="s">
        <v>235</v>
      </c>
      <c r="D20" s="45">
        <v>476</v>
      </c>
      <c r="E20" s="101" t="str">
        <f t="shared" si="0"/>
        <v>ABAIXO</v>
      </c>
    </row>
    <row r="21" spans="2:12" ht="15" thickBot="1" x14ac:dyDescent="0.35">
      <c r="B21" s="51">
        <v>20</v>
      </c>
      <c r="C21" s="51" t="s">
        <v>236</v>
      </c>
      <c r="D21" s="52">
        <v>361</v>
      </c>
      <c r="E21" s="101" t="str">
        <f t="shared" si="0"/>
        <v>ABAIXO</v>
      </c>
    </row>
  </sheetData>
  <mergeCells count="5">
    <mergeCell ref="K2:L2"/>
    <mergeCell ref="K3:L3"/>
    <mergeCell ref="K4:L4"/>
    <mergeCell ref="K5:L5"/>
    <mergeCell ref="K8:N10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0F770-40AE-41A1-AC33-8C6C3ED6416F}">
  <dimension ref="A1:N32"/>
  <sheetViews>
    <sheetView showGridLines="0" tabSelected="1" workbookViewId="0">
      <selection activeCell="F12" sqref="F12"/>
    </sheetView>
  </sheetViews>
  <sheetFormatPr defaultRowHeight="14.4" x14ac:dyDescent="0.3"/>
  <cols>
    <col min="1" max="1" width="18.6640625" customWidth="1"/>
    <col min="2" max="2" width="11.5546875" bestFit="1" customWidth="1"/>
    <col min="3" max="3" width="6.88671875" bestFit="1" customWidth="1"/>
    <col min="4" max="4" width="13.88671875" bestFit="1" customWidth="1"/>
    <col min="5" max="5" width="15.5546875" bestFit="1" customWidth="1"/>
    <col min="6" max="6" width="16.44140625" customWidth="1"/>
    <col min="7" max="7" width="14" bestFit="1" customWidth="1"/>
    <col min="8" max="8" width="18.6640625" bestFit="1" customWidth="1"/>
    <col min="9" max="9" width="15.88671875" bestFit="1" customWidth="1"/>
    <col min="10" max="10" width="14" bestFit="1" customWidth="1"/>
    <col min="11" max="12" width="16.33203125" bestFit="1" customWidth="1"/>
    <col min="14" max="14" width="10.6640625" bestFit="1" customWidth="1"/>
  </cols>
  <sheetData>
    <row r="1" spans="1:14" x14ac:dyDescent="0.3">
      <c r="A1" s="111" t="s">
        <v>318</v>
      </c>
      <c r="B1" s="111" t="s">
        <v>319</v>
      </c>
      <c r="C1" s="111" t="s">
        <v>320</v>
      </c>
      <c r="D1" s="111" t="s">
        <v>321</v>
      </c>
      <c r="E1" s="111" t="s">
        <v>322</v>
      </c>
      <c r="F1" s="112" t="s">
        <v>323</v>
      </c>
      <c r="H1" s="111" t="s">
        <v>324</v>
      </c>
      <c r="I1" s="60">
        <f>SUM(E2:E15)</f>
        <v>1883745</v>
      </c>
      <c r="K1" s="70" t="s">
        <v>325</v>
      </c>
      <c r="L1" s="58">
        <v>0</v>
      </c>
    </row>
    <row r="2" spans="1:14" x14ac:dyDescent="0.3">
      <c r="A2" s="58" t="s">
        <v>326</v>
      </c>
      <c r="B2" s="113">
        <v>39283</v>
      </c>
      <c r="C2" s="58" t="s">
        <v>327</v>
      </c>
      <c r="D2" s="58">
        <v>340</v>
      </c>
      <c r="E2" s="60">
        <v>185846</v>
      </c>
      <c r="F2" s="58" t="str" cm="1">
        <f t="array" aca="1" ref="F2" ca="1">_xlfn.IFS(DATEDIF(B2,TODAY(),"m")&lt;=$L$1,"Iniciante",AND(DATEDIF(B2,TODAY(),"m")&gt;=$L$2,DATEDIF(B2,TODAY(),"m")&lt;$L$3),"Júnior",AND(DATEDIF(B2,TODAY(),"m")&gt;=$L$3,DATEDIF(B2,TODAY(),"m")&lt;$L$4),"Pleno",DATEDIF(B2,TODAY(),"m")&gt;=$L$4,"Sênior")</f>
        <v>Sênior</v>
      </c>
      <c r="H2" s="111" t="s">
        <v>328</v>
      </c>
      <c r="I2" s="60">
        <f>AVERAGE(E2:E15)</f>
        <v>134553.21428571429</v>
      </c>
      <c r="K2" s="70" t="s">
        <v>329</v>
      </c>
      <c r="L2" s="58">
        <v>12</v>
      </c>
      <c r="N2" s="1"/>
    </row>
    <row r="3" spans="1:14" x14ac:dyDescent="0.3">
      <c r="A3" s="58" t="s">
        <v>330</v>
      </c>
      <c r="B3" s="113">
        <v>42044</v>
      </c>
      <c r="C3" s="58" t="s">
        <v>331</v>
      </c>
      <c r="D3" s="58">
        <v>1199</v>
      </c>
      <c r="E3" s="60">
        <v>192322</v>
      </c>
      <c r="F3" s="58" t="str" cm="1">
        <f t="array" aca="1" ref="F3" ca="1">_xlfn.IFS(DATEDIF(B3,TODAY(),"m")&lt;$L$1,"Iniciante",AND(DATEDIF(B3,TODAY(),"m")&gt;=$L$2,DATEDIF(B3,TODAY(),"m")&lt;$L$3),"Júnior",AND(DATEDIF(B3,TODAY(),"m")&gt;=$L$3,DATEDIF(B3,TODAY(),"m")&lt;$L$4),"Pleno",DATEDIF(B3,TODAY(),"m")&gt;=$L$4,"Sênior")</f>
        <v>Sênior</v>
      </c>
      <c r="H3" s="111" t="s">
        <v>332</v>
      </c>
      <c r="I3" s="114">
        <f>SUM(D2:D15)</f>
        <v>17085</v>
      </c>
      <c r="K3" s="70" t="s">
        <v>333</v>
      </c>
      <c r="L3" s="58">
        <v>72</v>
      </c>
      <c r="N3" s="1"/>
    </row>
    <row r="4" spans="1:14" x14ac:dyDescent="0.3">
      <c r="A4" s="58" t="s">
        <v>44</v>
      </c>
      <c r="B4" s="113">
        <v>43858</v>
      </c>
      <c r="C4" s="58" t="s">
        <v>334</v>
      </c>
      <c r="D4" s="58">
        <v>1867</v>
      </c>
      <c r="E4" s="60">
        <v>129828</v>
      </c>
      <c r="F4" s="58" t="str" cm="1">
        <f t="array" aca="1" ref="F4" ca="1">_xlfn.IFS(DATEDIF(B4,TODAY(),"m")&lt;$L$1,"Iniciante",AND(DATEDIF(B4,TODAY(),"m")&gt;=$L$2,DATEDIF(B4,TODAY(),"m")&lt;$L$3),"Júnior",AND(DATEDIF(B4,TODAY(),"m")&gt;=$L$3,DATEDIF(B4,TODAY(),"m")&lt;$L$4),"Pleno",DATEDIF(B4,TODAY(),"m")&gt;=$L$4,"Sênior")</f>
        <v>Pleno</v>
      </c>
      <c r="K4" s="70" t="s">
        <v>335</v>
      </c>
      <c r="L4" s="58">
        <v>114</v>
      </c>
    </row>
    <row r="5" spans="1:14" x14ac:dyDescent="0.3">
      <c r="A5" s="58" t="s">
        <v>336</v>
      </c>
      <c r="B5" s="113">
        <v>41684</v>
      </c>
      <c r="C5" s="58" t="s">
        <v>337</v>
      </c>
      <c r="D5" s="58">
        <v>297</v>
      </c>
      <c r="E5" s="60">
        <v>156333</v>
      </c>
      <c r="F5" s="58" t="str" cm="1">
        <f t="array" aca="1" ref="F5" ca="1">_xlfn.IFS(DATEDIF(B5,TODAY(),"m")&lt;$L$1,"Iniciante",AND(DATEDIF(B5,TODAY(),"m")&gt;=$L$2,DATEDIF(B5,TODAY(),"m")&lt;$L$3),"Júnior",AND(DATEDIF(B5,TODAY(),"m")&gt;=$L$3,DATEDIF(B5,TODAY(),"m")&lt;$L$4),"Pleno",DATEDIF(B5,TODAY(),"m")&gt;=$L$4,"Sênior")</f>
        <v>Sênior</v>
      </c>
    </row>
    <row r="6" spans="1:14" x14ac:dyDescent="0.3">
      <c r="A6" s="58" t="s">
        <v>338</v>
      </c>
      <c r="B6" s="113">
        <v>40763</v>
      </c>
      <c r="C6" s="58" t="s">
        <v>339</v>
      </c>
      <c r="D6" s="58">
        <v>2026</v>
      </c>
      <c r="E6" s="60">
        <v>79816</v>
      </c>
      <c r="F6" s="58" t="str" cm="1">
        <f t="array" aca="1" ref="F6" ca="1">_xlfn.IFS(DATEDIF(B6,TODAY(),"m")&lt;$L$1,"Iniciante",AND(DATEDIF(B6,TODAY(),"m")&gt;=$L$2,DATEDIF(B6,TODAY(),"m")&lt;$L$3),"Júnior",AND(DATEDIF(B6,TODAY(),"m")&gt;=$L$3,DATEDIF(B6,TODAY(),"m")&lt;$L$4),"Pleno",DATEDIF(B6,TODAY(),"m")&gt;=$L$4,"Sênior")</f>
        <v>Sênior</v>
      </c>
      <c r="H6" s="115" t="s">
        <v>320</v>
      </c>
      <c r="I6" s="115" t="s">
        <v>340</v>
      </c>
      <c r="J6" s="115" t="s">
        <v>341</v>
      </c>
      <c r="K6" s="115" t="s">
        <v>342</v>
      </c>
      <c r="L6" s="115" t="s">
        <v>343</v>
      </c>
    </row>
    <row r="7" spans="1:14" x14ac:dyDescent="0.3">
      <c r="A7" s="58" t="s">
        <v>344</v>
      </c>
      <c r="B7" s="113">
        <v>39807</v>
      </c>
      <c r="C7" s="58" t="s">
        <v>345</v>
      </c>
      <c r="D7" s="58">
        <v>1790</v>
      </c>
      <c r="E7" s="60">
        <v>52232</v>
      </c>
      <c r="F7" s="58" t="str" cm="1">
        <f t="array" aca="1" ref="F7" ca="1">_xlfn.IFS(DATEDIF(B7,TODAY(),"m")&lt;$L$1,"Iniciante",AND(DATEDIF(B7,TODAY(),"m")&gt;=$L$2,DATEDIF(B7,TODAY(),"m")&lt;$L$3),"Júnior",AND(DATEDIF(B7,TODAY(),"m")&gt;=$L$3,DATEDIF(B7,TODAY(),"m")&lt;$L$4),"Pleno",DATEDIF(B7,TODAY(),"m")&gt;=$L$4,"Sênior")</f>
        <v>Sênior</v>
      </c>
      <c r="H7" s="58" t="s">
        <v>346</v>
      </c>
      <c r="I7" s="58">
        <f>COUNTIF(C$2:C$15,"SP")</f>
        <v>3</v>
      </c>
      <c r="J7" s="114">
        <f>SUMIF(C$2:C$15,"SP",D$2:D$15)</f>
        <v>4909</v>
      </c>
      <c r="K7" s="60">
        <f>SUMIF(C2:C15,"SP",E$2:E$15)</f>
        <v>479790</v>
      </c>
      <c r="L7" s="60">
        <f>AVERAGEIF(C$2:C$15,"SP",E$2:E$15)</f>
        <v>159930</v>
      </c>
    </row>
    <row r="8" spans="1:14" x14ac:dyDescent="0.3">
      <c r="A8" s="58" t="s">
        <v>347</v>
      </c>
      <c r="B8" s="113">
        <v>40629</v>
      </c>
      <c r="C8" s="58" t="s">
        <v>345</v>
      </c>
      <c r="D8" s="58">
        <v>2000</v>
      </c>
      <c r="E8" s="60">
        <v>85846</v>
      </c>
      <c r="F8" s="58" t="str" cm="1">
        <f t="array" aca="1" ref="F8" ca="1">_xlfn.IFS(DATEDIF(B8,TODAY(),"m")&lt;$L$1,"Iniciante",AND(DATEDIF(B8,TODAY(),"m")&gt;=$L$2,DATEDIF(B8,TODAY(),"m")&lt;$L$3),"Júnior",AND(DATEDIF(B8,TODAY(),"m")&gt;=$L$3,DATEDIF(B8,TODAY(),"m")&lt;$L$4),"Pleno",DATEDIF(B8,TODAY(),"m")&gt;=$L$4,"Sênior")</f>
        <v>Sênior</v>
      </c>
      <c r="H8" s="58" t="s">
        <v>348</v>
      </c>
      <c r="I8" s="58">
        <f>COUNTIF(C$2:C$15,"MG")</f>
        <v>1</v>
      </c>
      <c r="J8" s="114">
        <f>SUMIF(C$2:C$15,"MG",D$2:D$15)</f>
        <v>340</v>
      </c>
      <c r="K8" s="60">
        <f>SUMIF(C2:C15,"MG",E$2:E$15)</f>
        <v>185846</v>
      </c>
      <c r="L8" s="60">
        <f>AVERAGEIF(C$2:C$15,"MG",E$2:E$15)</f>
        <v>185846</v>
      </c>
    </row>
    <row r="9" spans="1:14" x14ac:dyDescent="0.3">
      <c r="A9" s="58" t="s">
        <v>349</v>
      </c>
      <c r="B9" s="113">
        <v>40452</v>
      </c>
      <c r="C9" s="58" t="s">
        <v>334</v>
      </c>
      <c r="D9" s="58">
        <v>1687</v>
      </c>
      <c r="E9" s="60">
        <v>74488</v>
      </c>
      <c r="F9" s="58" t="str" cm="1">
        <f t="array" aca="1" ref="F9" ca="1">_xlfn.IFS(DATEDIF(B9,TODAY(),"m")&lt;$L$1,"Iniciante",AND(DATEDIF(B9,TODAY(),"m")&gt;=$L$2,DATEDIF(B9,TODAY(),"m")&lt;$L$3),"Júnior",AND(DATEDIF(B9,TODAY(),"m")&gt;=$L$3,DATEDIF(B9,TODAY(),"m")&lt;$L$4),"Pleno",DATEDIF(B9,TODAY(),"m")&gt;=$L$4,"Sênior")</f>
        <v>Sênior</v>
      </c>
      <c r="H9" s="58" t="s">
        <v>350</v>
      </c>
      <c r="I9" s="58">
        <f>COUNTIF(C$2:C$15,"RJ")</f>
        <v>2</v>
      </c>
      <c r="J9" s="114">
        <f>SUMIF(C$2:C$15,"RJ",D$2:D$15)</f>
        <v>3790</v>
      </c>
      <c r="K9" s="60">
        <f>SUMIF(C2:C15,"RJ",E$2:E$15)</f>
        <v>138078</v>
      </c>
      <c r="L9" s="60">
        <f>AVERAGEIF(C$2:C$15,"RJ",E$2:E$15)</f>
        <v>69039</v>
      </c>
    </row>
    <row r="10" spans="1:14" x14ac:dyDescent="0.3">
      <c r="A10" s="58" t="s">
        <v>351</v>
      </c>
      <c r="B10" s="113">
        <v>42352</v>
      </c>
      <c r="C10" s="58" t="s">
        <v>331</v>
      </c>
      <c r="D10" s="58">
        <v>1077</v>
      </c>
      <c r="E10" s="60">
        <v>195369</v>
      </c>
      <c r="F10" s="58" t="str" cm="1">
        <f t="array" aca="1" ref="F10" ca="1">_xlfn.IFS(DATEDIF(B10,TODAY(),"m")&lt;$L$1,"Iniciante",AND(DATEDIF(B10,TODAY(),"m")&gt;=$L$2,DATEDIF(B10,TODAY(),"m")&lt;$L$3),"Júnior",AND(DATEDIF(B10,TODAY(),"m")&gt;=$L$3,DATEDIF(B10,TODAY(),"m")&lt;$L$4),"Pleno",DATEDIF(B10,TODAY(),"m")&gt;=$L$4,"Sênior")</f>
        <v>Sênior</v>
      </c>
      <c r="H10" s="58" t="s">
        <v>352</v>
      </c>
      <c r="I10" s="58">
        <f>COUNTIF(C$2:C$15,"MA")</f>
        <v>0</v>
      </c>
      <c r="J10" s="114">
        <f>SUMIF(C$2:C$15,"MA",D$2:D$15)</f>
        <v>0</v>
      </c>
      <c r="K10" s="60">
        <f>SUMIF(C2:C15,"MA",E$2:E$15)</f>
        <v>0</v>
      </c>
      <c r="L10" s="60" t="e">
        <f>AVERAGEIF(C$2:C$15,"MA",E$2:E$15)</f>
        <v>#DIV/0!</v>
      </c>
    </row>
    <row r="11" spans="1:14" x14ac:dyDescent="0.3">
      <c r="A11" s="58" t="s">
        <v>353</v>
      </c>
      <c r="B11" s="113">
        <v>38825</v>
      </c>
      <c r="C11" s="58" t="s">
        <v>337</v>
      </c>
      <c r="D11" s="58">
        <v>1302</v>
      </c>
      <c r="E11" s="60">
        <v>206945</v>
      </c>
      <c r="F11" s="58" t="str" cm="1">
        <f t="array" aca="1" ref="F11" ca="1">_xlfn.IFS(DATEDIF(B11,TODAY(),"m")&lt;$L$1,"Iniciante",AND(DATEDIF(B11,TODAY(),"m")&gt;=$L$2,DATEDIF(B11,TODAY(),"m")&lt;$L$3),"Júnior",AND(DATEDIF(B11,TODAY(),"m")&gt;=$L$3,DATEDIF(B11,TODAY(),"m")&lt;$L$4),"Pleno",DATEDIF(B11,TODAY(),"m")&gt;=$L$4,"Sênior")</f>
        <v>Sênior</v>
      </c>
      <c r="H11" s="58" t="s">
        <v>354</v>
      </c>
      <c r="I11" s="58">
        <f>COUNTIF(C$2:C$15,"BA")</f>
        <v>2</v>
      </c>
      <c r="J11" s="114">
        <f>SUMIF(C$2:C$15,"BA",D$2:D$15)</f>
        <v>3554</v>
      </c>
      <c r="K11" s="60">
        <f>SUMIF(C2:C15,"BA",E$2:E$15)</f>
        <v>204316</v>
      </c>
      <c r="L11" s="60">
        <f>AVERAGEIF(C$2:C$15,"BA",E$2:E$15)</f>
        <v>102158</v>
      </c>
    </row>
    <row r="12" spans="1:14" x14ac:dyDescent="0.3">
      <c r="A12" s="58" t="s">
        <v>355</v>
      </c>
      <c r="B12" s="113">
        <v>43281</v>
      </c>
      <c r="C12" s="58" t="s">
        <v>339</v>
      </c>
      <c r="D12" s="58">
        <v>780</v>
      </c>
      <c r="E12" s="60">
        <v>207271</v>
      </c>
      <c r="F12" s="58" t="str" cm="1">
        <f t="array" aca="1" ref="F12" ca="1">_xlfn.IFS(DATEDIF(B12,TODAY(),"m")&lt;$L$1,"Iniciante",AND(DATEDIF(B12,TODAY(),"m")&gt;=$L$2,DATEDIF(B12,TODAY(),"m")&lt;$L$3),"Júnior",AND(DATEDIF(B12,TODAY(),"m")&gt;=$L$3,DATEDIF(B12,TODAY(),"m")&lt;$L$4),"Pleno",DATEDIF(B12,TODAY(),"m")&gt;=$L$4,"Sênior")</f>
        <v>Pleno</v>
      </c>
      <c r="H12" s="58" t="s">
        <v>356</v>
      </c>
      <c r="I12" s="58">
        <f>COUNTIF(C$2:C$15,"ES")</f>
        <v>1</v>
      </c>
      <c r="J12" s="114">
        <f>SUMIF(C$2:C$15,"ES",D$2:D$15)</f>
        <v>494</v>
      </c>
      <c r="K12" s="60">
        <f>SUMIF(C2:C15,"ES",E$2:E$15)</f>
        <v>52882</v>
      </c>
      <c r="L12" s="60">
        <f>AVERAGEIF(C$2:C$15,"ES",E$2:E$15)</f>
        <v>52882</v>
      </c>
    </row>
    <row r="13" spans="1:14" x14ac:dyDescent="0.3">
      <c r="A13" s="58" t="s">
        <v>357</v>
      </c>
      <c r="B13" s="113">
        <v>38788</v>
      </c>
      <c r="C13" s="58" t="s">
        <v>358</v>
      </c>
      <c r="D13" s="58">
        <v>123</v>
      </c>
      <c r="E13" s="60">
        <v>71864</v>
      </c>
      <c r="F13" s="58" t="str" cm="1">
        <f t="array" aca="1" ref="F13" ca="1">_xlfn.IFS(DATEDIF(B13,TODAY(),"m")&lt;$L$1,"Iniciante",AND(DATEDIF(B13,TODAY(),"m")&gt;=$L$2,DATEDIF(B13,TODAY(),"m")&lt;$L$3),"Júnior",AND(DATEDIF(B13,TODAY(),"m")&gt;=$L$3,DATEDIF(B13,TODAY(),"m")&lt;$L$4),"Pleno",DATEDIF(B13,TODAY(),"m")&gt;=$L$4,"Sênior")</f>
        <v>Sênior</v>
      </c>
      <c r="H13" s="58" t="s">
        <v>359</v>
      </c>
      <c r="I13" s="58">
        <f>COUNTIF(C$2:C$15,"MT")</f>
        <v>0</v>
      </c>
      <c r="J13" s="114">
        <f>SUMIF(C$2:C$15,"MT",D$2:D$15)</f>
        <v>0</v>
      </c>
      <c r="K13" s="60">
        <f>SUMIF(C2:C15,"MT",E$2:E$15)</f>
        <v>0</v>
      </c>
      <c r="L13" s="60" t="e">
        <f>AVERAGEIF(C$2:C$15,"MT",E$2:E$15)</f>
        <v>#DIV/0!</v>
      </c>
    </row>
    <row r="14" spans="1:14" x14ac:dyDescent="0.3">
      <c r="A14" s="58" t="s">
        <v>360</v>
      </c>
      <c r="B14" s="113">
        <v>42572</v>
      </c>
      <c r="C14" s="58" t="s">
        <v>361</v>
      </c>
      <c r="D14" s="58">
        <v>494</v>
      </c>
      <c r="E14" s="60">
        <v>52882</v>
      </c>
      <c r="F14" s="58" t="str" cm="1">
        <f t="array" aca="1" ref="F14" ca="1">_xlfn.IFS(DATEDIF(B14,TODAY(),"m")&lt;$L$1,"Iniciante",AND(DATEDIF(B14,TODAY(),"m")&gt;=$L$2,DATEDIF(B14,TODAY(),"m")&lt;$L$3),"Júnior",AND(DATEDIF(B14,TODAY(),"m")&gt;=$L$3,DATEDIF(B14,TODAY(),"m")&lt;$L$4),"Pleno",DATEDIF(B14,TODAY(),"m")&gt;=$L$4,"Sênior")</f>
        <v>Sênior</v>
      </c>
      <c r="H14" s="58" t="s">
        <v>362</v>
      </c>
      <c r="I14" s="58">
        <f>COUNTIF(C$2:C$15,"GO")</f>
        <v>0</v>
      </c>
      <c r="J14" s="114">
        <f>SUMIF(C$2:C$15,"GO",D$2:D$15)</f>
        <v>0</v>
      </c>
      <c r="K14" s="60">
        <f>SUMIF(C2:C15,"GO",E$2:E$15)</f>
        <v>0</v>
      </c>
      <c r="L14" s="60" t="e">
        <f>AVERAGEIF(C$2:C$15,"GO",E$2:E$15)</f>
        <v>#DIV/0!</v>
      </c>
    </row>
    <row r="15" spans="1:14" x14ac:dyDescent="0.3">
      <c r="A15" s="58" t="s">
        <v>363</v>
      </c>
      <c r="B15" s="113">
        <v>41223</v>
      </c>
      <c r="C15" s="58" t="s">
        <v>339</v>
      </c>
      <c r="D15" s="58">
        <v>2103</v>
      </c>
      <c r="E15" s="60">
        <v>192703</v>
      </c>
      <c r="F15" s="58" t="str" cm="1">
        <f t="array" aca="1" ref="F15" ca="1">_xlfn.IFS(DATEDIF(B15,TODAY(),"m")&lt;$L$1,"Iniciante",AND(DATEDIF(B15,TODAY(),"m")&gt;=$L$2,DATEDIF(B15,TODAY(),"m")&lt;$L$3),"Júnior",AND(DATEDIF(B15,TODAY(),"m")&gt;=$L$3,DATEDIF(B15,TODAY(),"m")&lt;$L$4),"Pleno",DATEDIF(B15,TODAY(),"m")&gt;=$L$4,"Sênior")</f>
        <v>Sênior</v>
      </c>
    </row>
    <row r="16" spans="1:14" x14ac:dyDescent="0.3">
      <c r="H16" s="115" t="s">
        <v>364</v>
      </c>
      <c r="I16" s="115" t="s">
        <v>340</v>
      </c>
      <c r="J16" s="115" t="s">
        <v>342</v>
      </c>
      <c r="K16" s="115" t="s">
        <v>343</v>
      </c>
    </row>
    <row r="17" spans="1:11" x14ac:dyDescent="0.3">
      <c r="H17" s="58" t="s">
        <v>365</v>
      </c>
      <c r="I17" s="58">
        <f ca="1">COUNTIFS(C2:C15,"SP",F2:F15,"Sênior")</f>
        <v>2</v>
      </c>
      <c r="J17" s="60">
        <f ca="1">SUMIFS(E2:E15,C2:C15,"SP",F2:F15,"Sênior")</f>
        <v>272519</v>
      </c>
      <c r="K17" s="60">
        <f ca="1">AVERAGEIFS(E2:E15,C2:C15,"SP",F2:F15,"Sênior")</f>
        <v>136259.5</v>
      </c>
    </row>
    <row r="18" spans="1:11" ht="15" customHeight="1" x14ac:dyDescent="0.3">
      <c r="A18" s="116" t="str">
        <f ca="1">CONCATENATE("HOJE É ",TEXT(TODAY(),"dd/mm/aaaa"))</f>
        <v>HOJE É 14/02/2026</v>
      </c>
      <c r="B18" s="117"/>
      <c r="C18" s="117"/>
      <c r="D18" s="117"/>
      <c r="E18" s="117"/>
      <c r="F18" s="118"/>
      <c r="H18" s="58" t="s">
        <v>366</v>
      </c>
      <c r="I18" s="58">
        <f ca="1">COUNTIFS(C2:C15,"SP",F2:F15,"Pleno")</f>
        <v>1</v>
      </c>
      <c r="J18" s="60">
        <f ca="1">SUMIFS(E2:E15,C2:C15,"SP",F2:F15,"Pleno")</f>
        <v>207271</v>
      </c>
      <c r="K18" s="60">
        <f ca="1">AVERAGEIFS(E2:E15,C2:C15,"SP",F2:F15,"Pleno")</f>
        <v>207271</v>
      </c>
    </row>
    <row r="19" spans="1:11" ht="15" customHeight="1" x14ac:dyDescent="0.3">
      <c r="A19" s="119"/>
      <c r="B19" s="124"/>
      <c r="C19" s="124"/>
      <c r="D19" s="124"/>
      <c r="E19" s="124"/>
      <c r="F19" s="120"/>
      <c r="H19" s="58" t="s">
        <v>367</v>
      </c>
      <c r="I19" s="58">
        <f ca="1">COUNTIFS(C2:C15,"SP",F2:F15,"Júnior")</f>
        <v>0</v>
      </c>
      <c r="J19" s="60">
        <f ca="1">SUMIFS(E3:E15,C3:C15,"SP",F3:F15,"Júnior")</f>
        <v>0</v>
      </c>
      <c r="K19" s="60" t="e">
        <f ca="1">AVERAGEIFS(E2:E15,C2:C15,"SP",F2:F15,"Júnior")</f>
        <v>#DIV/0!</v>
      </c>
    </row>
    <row r="20" spans="1:11" ht="15" customHeight="1" x14ac:dyDescent="0.3">
      <c r="A20" s="119"/>
      <c r="B20" s="124"/>
      <c r="C20" s="124"/>
      <c r="D20" s="124"/>
      <c r="E20" s="124"/>
      <c r="F20" s="120"/>
      <c r="H20" s="58" t="s">
        <v>368</v>
      </c>
      <c r="I20" s="58">
        <f ca="1">COUNTIFS(C2:C15,"MG",F2:F15,"Sênior")</f>
        <v>1</v>
      </c>
      <c r="J20" s="60">
        <f ca="1">SUMIFS(E2:E15,C2:C15,"MG",F2:F15,"Sênior")</f>
        <v>185846</v>
      </c>
      <c r="K20" s="60">
        <f ca="1">AVERAGEIFS(E2:E15,C2:C15,"MG",F2:F15,"Sênior")</f>
        <v>185846</v>
      </c>
    </row>
    <row r="21" spans="1:11" ht="15" customHeight="1" x14ac:dyDescent="0.3">
      <c r="A21" s="121"/>
      <c r="B21" s="122"/>
      <c r="C21" s="122"/>
      <c r="D21" s="122"/>
      <c r="E21" s="122"/>
      <c r="F21" s="123"/>
      <c r="H21" s="58" t="s">
        <v>369</v>
      </c>
      <c r="I21" s="58">
        <f>COUNTIFS(C3:C16,"MG",F3:F16,"Pleno")</f>
        <v>0</v>
      </c>
      <c r="J21" s="60">
        <f>SUMIFS(E3:E15,C3:C15,"MG",F3:F15,"Sênior")</f>
        <v>0</v>
      </c>
      <c r="K21" s="60" t="e">
        <f ca="1">AVERAGEIFS(E2:E15,C2:C15,"MG",F2:F15,"Pleno")</f>
        <v>#DIV/0!</v>
      </c>
    </row>
    <row r="22" spans="1:11" x14ac:dyDescent="0.3">
      <c r="A22" s="125">
        <f ca="1">TODAY()</f>
        <v>46067</v>
      </c>
      <c r="B22" s="126"/>
      <c r="C22" s="126"/>
      <c r="D22" s="126"/>
      <c r="E22" s="126"/>
      <c r="F22" s="127"/>
      <c r="H22" s="58" t="s">
        <v>370</v>
      </c>
      <c r="I22" s="58">
        <f>COUNTIFS(C4:C17,"MG",F4:F17,"Júnior")</f>
        <v>0</v>
      </c>
      <c r="J22" s="60">
        <f>SUMIFS(E4:E15,C4:C15,"MG",F4:F15,"Sênior")</f>
        <v>0</v>
      </c>
      <c r="K22" s="60" t="e">
        <f ca="1">AVERAGEIFS(E2:E15,C2:C15,"MG",F2:F15,"Júnior")</f>
        <v>#DIV/0!</v>
      </c>
    </row>
    <row r="23" spans="1:11" x14ac:dyDescent="0.3">
      <c r="A23" s="128"/>
      <c r="B23" s="129"/>
      <c r="C23" s="129"/>
      <c r="D23" s="129"/>
      <c r="E23" s="129"/>
      <c r="F23" s="130"/>
    </row>
    <row r="24" spans="1:11" x14ac:dyDescent="0.3">
      <c r="A24" s="128"/>
      <c r="B24" s="129"/>
      <c r="C24" s="129"/>
      <c r="D24" s="129"/>
      <c r="E24" s="129"/>
      <c r="F24" s="130"/>
    </row>
    <row r="25" spans="1:11" ht="14.4" customHeight="1" x14ac:dyDescent="0.3">
      <c r="A25" s="131"/>
      <c r="B25" s="132"/>
      <c r="C25" s="132"/>
      <c r="D25" s="132"/>
      <c r="E25" s="132"/>
      <c r="F25" s="133"/>
      <c r="H25" s="78" t="s">
        <v>371</v>
      </c>
      <c r="I25" s="78"/>
      <c r="J25" s="78"/>
      <c r="K25" s="78"/>
    </row>
    <row r="26" spans="1:11" x14ac:dyDescent="0.3">
      <c r="H26" s="78"/>
      <c r="I26" s="78"/>
      <c r="J26" s="78"/>
      <c r="K26" s="78"/>
    </row>
    <row r="27" spans="1:11" x14ac:dyDescent="0.3">
      <c r="H27" s="78"/>
      <c r="I27" s="78"/>
      <c r="J27" s="78"/>
      <c r="K27" s="78"/>
    </row>
    <row r="30" spans="1:11" x14ac:dyDescent="0.3">
      <c r="B30" t="e" cm="1">
        <f t="array" ref="B30">DATA</f>
        <v>#NAME?</v>
      </c>
    </row>
    <row r="31" spans="1:11" x14ac:dyDescent="0.3">
      <c r="G31" s="22">
        <f>AVERAGE(E6,E12,E15)</f>
        <v>159930</v>
      </c>
    </row>
    <row r="32" spans="1:11" x14ac:dyDescent="0.3">
      <c r="G32" s="22">
        <f>AVERAGE(E6,E15)</f>
        <v>136259.5</v>
      </c>
    </row>
  </sheetData>
  <mergeCells count="3">
    <mergeCell ref="A18:F21"/>
    <mergeCell ref="A22:F25"/>
    <mergeCell ref="H25:K2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21</vt:i4>
      </vt:variant>
      <vt:variant>
        <vt:lpstr>Intervalos Nomeados</vt:lpstr>
      </vt:variant>
      <vt:variant>
        <vt:i4>3</vt:i4>
      </vt:variant>
    </vt:vector>
  </HeadingPairs>
  <TitlesOfParts>
    <vt:vector size="24" baseType="lpstr">
      <vt:lpstr>VENCIDAS</vt:lpstr>
      <vt:lpstr>RECEBIDAS</vt:lpstr>
      <vt:lpstr>Planilha cheia</vt:lpstr>
      <vt:lpstr>Clientes</vt:lpstr>
      <vt:lpstr>Clientes-sistema;</vt:lpstr>
      <vt:lpstr>Clientes-sistema|</vt:lpstr>
      <vt:lpstr>Básicas</vt:lpstr>
      <vt:lpstr>Básicas (2)</vt:lpstr>
      <vt:lpstr>Mês7</vt:lpstr>
      <vt:lpstr>Mês8</vt:lpstr>
      <vt:lpstr>Mês9</vt:lpstr>
      <vt:lpstr>Planilha9</vt:lpstr>
      <vt:lpstr>DIA 1</vt:lpstr>
      <vt:lpstr>DIA 1 (2)</vt:lpstr>
      <vt:lpstr>FUNCIONÁRIOS</vt:lpstr>
      <vt:lpstr>DIA 1 (3)</vt:lpstr>
      <vt:lpstr>DIA 2</vt:lpstr>
      <vt:lpstr>base_de_dados</vt:lpstr>
      <vt:lpstr>DIA 1 (4)</vt:lpstr>
      <vt:lpstr>DIA 1 (5)</vt:lpstr>
      <vt:lpstr>Vendedores</vt:lpstr>
      <vt:lpstr>RECEBIDAS!Area_de_impressao</vt:lpstr>
      <vt:lpstr>VENCIDAS!Area_de_impressao</vt:lpstr>
      <vt:lpstr>VALORES_DE_COMPRAS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Fróes</dc:creator>
  <cp:lastModifiedBy>Claudio Angulo Zurita</cp:lastModifiedBy>
  <cp:lastPrinted>2026-01-06T15:33:48Z</cp:lastPrinted>
  <dcterms:created xsi:type="dcterms:W3CDTF">2021-06-23T14:59:21Z</dcterms:created>
  <dcterms:modified xsi:type="dcterms:W3CDTF">2026-02-15T00:03:47Z</dcterms:modified>
</cp:coreProperties>
</file>